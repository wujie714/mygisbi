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MuYan-JWT\Desktop\公共治理-晴\交通堵点识别\"/>
    </mc:Choice>
  </mc:AlternateContent>
  <xr:revisionPtr revIDLastSave="0" documentId="13_ncr:1_{D5B48399-E896-478E-93CB-AB3158D435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造数据" sheetId="1" r:id="rId1"/>
    <sheet name="数据源-训练集" sheetId="2" r:id="rId2"/>
    <sheet name="数据源-测试集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3" i="1"/>
  <c r="D83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08" i="1"/>
  <c r="D108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D21" i="1"/>
  <c r="C21" i="1"/>
  <c r="C106" i="1"/>
  <c r="D106" i="1"/>
  <c r="C107" i="1"/>
  <c r="D107" i="1"/>
  <c r="C110" i="1"/>
  <c r="D110" i="1"/>
  <c r="C111" i="1"/>
  <c r="D111" i="1"/>
  <c r="C2" i="1"/>
  <c r="D2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82" i="1"/>
  <c r="D82" i="1"/>
  <c r="C109" i="1"/>
  <c r="D109" i="1"/>
  <c r="C84" i="1"/>
  <c r="D84" i="1"/>
  <c r="C85" i="1"/>
  <c r="D85" i="1"/>
  <c r="C86" i="1"/>
  <c r="D86" i="1"/>
  <c r="C87" i="1"/>
  <c r="D87" i="1"/>
  <c r="C88" i="1"/>
  <c r="D88" i="1"/>
  <c r="C89" i="1"/>
  <c r="D89" i="1"/>
  <c r="F4" i="1" a="1"/>
  <c r="F120" i="1" a="1"/>
  <c r="F27" i="1" a="1"/>
  <c r="B55" i="1" a="1"/>
  <c r="B37" i="1" a="1"/>
  <c r="B4" i="1" a="1"/>
  <c r="B26" i="1" a="1"/>
  <c r="B100" i="1" a="1"/>
  <c r="F134" i="1" a="1"/>
  <c r="F79" i="1" a="1"/>
  <c r="F129" i="1" a="1"/>
  <c r="B27" i="1" a="1"/>
  <c r="B101" i="1" a="1"/>
  <c r="F104" i="1" a="1"/>
  <c r="F76" i="1" a="1"/>
  <c r="B130" i="1" a="1"/>
  <c r="B94" i="1" a="1"/>
  <c r="F73" i="1" a="1"/>
  <c r="F26" i="1" a="1"/>
  <c r="F31" i="1" a="1"/>
  <c r="F105" i="1" a="1"/>
  <c r="B99" i="1" a="1"/>
  <c r="B14" i="1" a="1"/>
  <c r="B107" i="1" a="1"/>
  <c r="F17" i="1" a="1"/>
  <c r="F14" i="1" a="1"/>
  <c r="F42" i="1" a="1"/>
  <c r="B86" i="1" a="1"/>
  <c r="F49" i="1" a="1"/>
  <c r="B85" i="1" a="1"/>
  <c r="B88" i="1" a="1"/>
  <c r="F52" i="1" a="1"/>
  <c r="B60" i="1" a="1"/>
  <c r="B146" i="1" a="1"/>
  <c r="B39" i="1" a="1"/>
  <c r="B143" i="1" a="1"/>
  <c r="B140" i="1" a="1"/>
  <c r="B34" i="1" a="1"/>
  <c r="F94" i="1" a="1"/>
  <c r="B35" i="1" a="1"/>
  <c r="B103" i="1" a="1"/>
  <c r="B102" i="1" a="1"/>
  <c r="F34" i="1" a="1"/>
  <c r="B108" i="1" a="1"/>
  <c r="B15" i="1" a="1"/>
  <c r="F50" i="1" a="1"/>
  <c r="B68" i="1" a="1"/>
  <c r="B8" i="1" a="1"/>
  <c r="B30" i="1" a="1"/>
  <c r="B104" i="1" a="1"/>
  <c r="F135" i="1" a="1"/>
  <c r="F90" i="1" a="1"/>
  <c r="F133" i="1" a="1"/>
  <c r="B31" i="1" a="1"/>
  <c r="B105" i="1" a="1"/>
  <c r="B72" i="1" a="1"/>
  <c r="F80" i="1" a="1"/>
  <c r="B24" i="1" a="1"/>
  <c r="B98" i="1" a="1"/>
  <c r="F77" i="1" a="1"/>
  <c r="F30" i="1" a="1"/>
  <c r="F35" i="1" a="1"/>
  <c r="F115" i="1" a="1"/>
  <c r="B113" i="1" a="1"/>
  <c r="B18" i="1" a="1"/>
  <c r="B11" i="1" a="1"/>
  <c r="B110" i="1" a="1"/>
  <c r="F18" i="1" a="1"/>
  <c r="F46" i="1" a="1"/>
  <c r="B41" i="1" a="1"/>
  <c r="B48" i="1" a="1"/>
  <c r="F109" i="1" a="1"/>
  <c r="F86" i="1" a="1"/>
  <c r="F82" i="1" a="1"/>
  <c r="B64" i="1" a="1"/>
  <c r="B126" i="1" a="1"/>
  <c r="B67" i="1" a="1"/>
  <c r="B147" i="1" a="1"/>
  <c r="B122" i="1" a="1"/>
  <c r="B114" i="1" a="1"/>
  <c r="F117" i="1" a="1"/>
  <c r="B115" i="1" a="1"/>
  <c r="F91" i="1" a="1"/>
  <c r="F92" i="1" a="1"/>
  <c r="F74" i="1" a="1"/>
  <c r="B111" i="1" a="1"/>
  <c r="B13" i="1" a="1"/>
  <c r="B45" i="1" a="1"/>
  <c r="B125" i="1" a="1"/>
  <c r="F6" i="1" a="1"/>
  <c r="B76" i="1" a="1"/>
  <c r="B28" i="1" a="1"/>
  <c r="F119" i="1" a="1"/>
  <c r="B12" i="1" a="1"/>
  <c r="F53" i="1" a="1"/>
  <c r="B3" i="1" a="1"/>
  <c r="F8" i="1" a="1"/>
  <c r="B73" i="1" a="1"/>
  <c r="B118" i="1" a="1"/>
  <c r="F24" i="1" a="1"/>
  <c r="F98" i="1" a="1"/>
  <c r="F108" i="1" a="1"/>
  <c r="B74" i="1" a="1"/>
  <c r="B119" i="1" a="1"/>
  <c r="B117" i="1" a="1"/>
  <c r="F95" i="1" a="1"/>
  <c r="B32" i="1" a="1"/>
  <c r="B112" i="1" a="1"/>
  <c r="F96" i="1" a="1"/>
  <c r="F100" i="1" a="1"/>
  <c r="F78" i="1" a="1"/>
  <c r="F128" i="1" a="1"/>
  <c r="F21" i="1" a="1"/>
  <c r="F110" i="1" a="1"/>
  <c r="B19" i="1" a="1"/>
  <c r="B16" i="1" a="1"/>
  <c r="F107" i="1" a="1"/>
  <c r="F54" i="1" a="1"/>
  <c r="B49" i="1" a="1"/>
  <c r="F47" i="1" a="1"/>
  <c r="B42" i="1" a="1"/>
  <c r="B44" i="1" a="1"/>
  <c r="B89" i="1" a="1"/>
  <c r="B141" i="1" a="1"/>
  <c r="B124" i="1" a="1"/>
  <c r="B58" i="1" a="1"/>
  <c r="B144" i="1" a="1"/>
  <c r="F103" i="1" a="1"/>
  <c r="B97" i="1" a="1"/>
  <c r="B90" i="1" a="1"/>
  <c r="B10" i="1" a="1"/>
  <c r="B51" i="1" a="1"/>
  <c r="B123" i="1" a="1"/>
  <c r="B63" i="1" a="1"/>
  <c r="B59" i="1" a="1"/>
  <c r="B7" i="1" a="1"/>
  <c r="F3" i="1" a="1"/>
  <c r="B77" i="1" a="1"/>
  <c r="B127" i="1" a="1"/>
  <c r="F28" i="1" a="1"/>
  <c r="F102" i="1" a="1"/>
  <c r="F81" i="1" a="1"/>
  <c r="B78" i="1" a="1"/>
  <c r="B128" i="1" a="1"/>
  <c r="F25" i="1" a="1"/>
  <c r="F99" i="1" a="1"/>
  <c r="B36" i="1" a="1"/>
  <c r="B116" i="1" a="1"/>
  <c r="F127" i="1" a="1"/>
  <c r="F114" i="1" a="1"/>
  <c r="F83" i="1" a="1"/>
  <c r="F132" i="1" a="1"/>
  <c r="B21" i="1" a="1"/>
  <c r="F12" i="1" a="1"/>
  <c r="B17" i="1" a="1"/>
  <c r="B20" i="1" a="1"/>
  <c r="F11" i="1" a="1"/>
  <c r="F84" i="1" a="1"/>
  <c r="B53" i="1" a="1"/>
  <c r="F51" i="1" a="1"/>
  <c r="B46" i="1" a="1"/>
  <c r="B52" i="1" a="1"/>
  <c r="F41" i="1" a="1"/>
  <c r="B38" i="1" a="1"/>
  <c r="B61" i="1" a="1"/>
  <c r="B62" i="1" a="1"/>
  <c r="B56" i="1" a="1"/>
  <c r="F75" i="1" a="1"/>
  <c r="B23" i="1" a="1"/>
  <c r="B33" i="1" a="1"/>
  <c r="F101" i="1" a="1"/>
  <c r="F13" i="1" a="1"/>
  <c r="F89" i="1" a="1"/>
  <c r="B139" i="1" a="1"/>
  <c r="B47" i="1" a="1"/>
  <c r="F5" i="1" a="1"/>
  <c r="F7" i="1" a="1"/>
  <c r="B81" i="1" a="1"/>
  <c r="B131" i="1" a="1"/>
  <c r="F32" i="1" a="1"/>
  <c r="F112" i="1" a="1"/>
  <c r="B29" i="1" a="1"/>
  <c r="B83" i="1" a="1"/>
  <c r="B132" i="1" a="1"/>
  <c r="F29" i="1" a="1"/>
  <c r="F118" i="1" a="1"/>
  <c r="B75" i="1" a="1"/>
  <c r="B120" i="1" a="1"/>
  <c r="B25" i="1" a="1"/>
  <c r="B134" i="1" a="1"/>
  <c r="F93" i="1" a="1"/>
  <c r="F136" i="1" a="1"/>
  <c r="B106" i="1" a="1"/>
  <c r="F16" i="1" a="1"/>
  <c r="F111" i="1" a="1"/>
  <c r="F106" i="1" a="1"/>
  <c r="F15" i="1" a="1"/>
  <c r="F88" i="1" a="1"/>
  <c r="B109" i="1" a="1"/>
  <c r="F55" i="1" a="1"/>
  <c r="B50" i="1" a="1"/>
  <c r="F40" i="1" a="1"/>
  <c r="F45" i="1" a="1"/>
  <c r="B71" i="1" a="1"/>
  <c r="B65" i="1" a="1"/>
  <c r="B66" i="1" a="1"/>
  <c r="B137" i="1" a="1"/>
  <c r="B96" i="1" a="1"/>
  <c r="F72" i="1" a="1"/>
  <c r="F22" i="1" a="1"/>
  <c r="B9" i="1" a="1"/>
  <c r="B40" i="1" a="1"/>
  <c r="F48" i="1" a="1"/>
  <c r="B138" i="1" a="1"/>
  <c r="F43" i="1" a="1"/>
  <c r="B5" i="1" a="1"/>
  <c r="B6" i="1" a="1"/>
  <c r="B92" i="1" a="1"/>
  <c r="B135" i="1" a="1"/>
  <c r="F36" i="1" a="1"/>
  <c r="F116" i="1" a="1"/>
  <c r="B80" i="1" a="1"/>
  <c r="B93" i="1" a="1"/>
  <c r="B136" i="1" a="1"/>
  <c r="F33" i="1" a="1"/>
  <c r="F131" i="1" a="1"/>
  <c r="B79" i="1" a="1"/>
  <c r="B129" i="1" a="1"/>
  <c r="B95" i="1" a="1"/>
  <c r="F23" i="1" a="1"/>
  <c r="F97" i="1" a="1"/>
  <c r="F113" i="1" a="1"/>
  <c r="B2" i="1" a="1"/>
  <c r="F20" i="1" a="1"/>
  <c r="F9" i="1" a="1"/>
  <c r="F2" i="1" a="1"/>
  <c r="F19" i="1" a="1"/>
  <c r="B43" i="1" a="1"/>
  <c r="B87" i="1" a="1"/>
  <c r="F85" i="1" a="1"/>
  <c r="B54" i="1" a="1"/>
  <c r="F44" i="1" a="1"/>
  <c r="F87" i="1" a="1"/>
  <c r="B57" i="1" a="1"/>
  <c r="B69" i="1" a="1"/>
  <c r="B70" i="1" a="1"/>
  <c r="B145" i="1" a="1"/>
  <c r="B22" i="1" a="1"/>
  <c r="F130" i="1" a="1"/>
  <c r="B133" i="1" a="1"/>
  <c r="B91" i="1" a="1"/>
  <c r="F10" i="1" a="1"/>
  <c r="B84" i="1" a="1"/>
  <c r="B142" i="1" a="1"/>
  <c r="B82" i="1" a="1"/>
  <c r="B6" i="1" l="1"/>
  <c r="F7" i="1"/>
  <c r="G7" i="1" s="1"/>
  <c r="E7" i="1" s="1"/>
  <c r="F3" i="1"/>
  <c r="G3" i="1" s="1"/>
  <c r="E3" i="1" s="1"/>
  <c r="F8" i="1"/>
  <c r="G8" i="1" s="1"/>
  <c r="E8" i="1" s="1"/>
  <c r="F6" i="1"/>
  <c r="G6" i="1" s="1"/>
  <c r="B8" i="1"/>
  <c r="B4" i="1"/>
  <c r="F4" i="1"/>
  <c r="G4" i="1" s="1"/>
  <c r="E4" i="1" s="1"/>
  <c r="B5" i="1"/>
  <c r="F5" i="1"/>
  <c r="G5" i="1" s="1"/>
  <c r="E5" i="1" s="1"/>
  <c r="B7" i="1"/>
  <c r="B3" i="1"/>
  <c r="E6" i="1"/>
  <c r="B108" i="1"/>
  <c r="B113" i="1"/>
  <c r="B99" i="1"/>
  <c r="B91" i="1"/>
  <c r="F113" i="1"/>
  <c r="G113" i="1" s="1"/>
  <c r="E113" i="1" s="1"/>
  <c r="F136" i="1"/>
  <c r="G136" i="1" s="1"/>
  <c r="E136" i="1" s="1"/>
  <c r="F132" i="1"/>
  <c r="G132" i="1" s="1"/>
  <c r="E132" i="1" s="1"/>
  <c r="F128" i="1"/>
  <c r="G128" i="1" s="1"/>
  <c r="E128" i="1" s="1"/>
  <c r="F119" i="1"/>
  <c r="G119" i="1" s="1"/>
  <c r="E119" i="1" s="1"/>
  <c r="F115" i="1"/>
  <c r="G115" i="1" s="1"/>
  <c r="E115" i="1" s="1"/>
  <c r="F105" i="1"/>
  <c r="G105" i="1" s="1"/>
  <c r="E105" i="1" s="1"/>
  <c r="F101" i="1"/>
  <c r="G101" i="1" s="1"/>
  <c r="E101" i="1" s="1"/>
  <c r="F97" i="1"/>
  <c r="G97" i="1" s="1"/>
  <c r="E97" i="1" s="1"/>
  <c r="F93" i="1"/>
  <c r="G93" i="1" s="1"/>
  <c r="E93" i="1" s="1"/>
  <c r="F83" i="1"/>
  <c r="G83" i="1" s="1"/>
  <c r="E83" i="1" s="1"/>
  <c r="F78" i="1"/>
  <c r="G78" i="1" s="1"/>
  <c r="E78" i="1" s="1"/>
  <c r="F74" i="1"/>
  <c r="G74" i="1" s="1"/>
  <c r="E74" i="1" s="1"/>
  <c r="F35" i="1"/>
  <c r="G35" i="1" s="1"/>
  <c r="E35" i="1" s="1"/>
  <c r="F31" i="1"/>
  <c r="G31" i="1" s="1"/>
  <c r="E31" i="1" s="1"/>
  <c r="F27" i="1"/>
  <c r="G27" i="1" s="1"/>
  <c r="E27" i="1" s="1"/>
  <c r="F23" i="1"/>
  <c r="G23" i="1" s="1"/>
  <c r="E23" i="1" s="1"/>
  <c r="B134" i="1"/>
  <c r="F114" i="1"/>
  <c r="G114" i="1" s="1"/>
  <c r="E114" i="1" s="1"/>
  <c r="F100" i="1"/>
  <c r="G100" i="1" s="1"/>
  <c r="E100" i="1" s="1"/>
  <c r="F34" i="1"/>
  <c r="G34" i="1" s="1"/>
  <c r="E34" i="1" s="1"/>
  <c r="F30" i="1"/>
  <c r="G30" i="1" s="1"/>
  <c r="E30" i="1" s="1"/>
  <c r="F26" i="1"/>
  <c r="G26" i="1" s="1"/>
  <c r="E26" i="1" s="1"/>
  <c r="F22" i="1"/>
  <c r="G22" i="1" s="1"/>
  <c r="E22" i="1" s="1"/>
  <c r="B95" i="1"/>
  <c r="B25" i="1"/>
  <c r="F127" i="1"/>
  <c r="G127" i="1" s="1"/>
  <c r="E127" i="1" s="1"/>
  <c r="F96" i="1"/>
  <c r="G96" i="1" s="1"/>
  <c r="E96" i="1" s="1"/>
  <c r="F92" i="1"/>
  <c r="G92" i="1" s="1"/>
  <c r="E92" i="1" s="1"/>
  <c r="F77" i="1"/>
  <c r="G77" i="1" s="1"/>
  <c r="E77" i="1" s="1"/>
  <c r="F73" i="1"/>
  <c r="G73" i="1" s="1"/>
  <c r="E73" i="1" s="1"/>
  <c r="B133" i="1"/>
  <c r="B129" i="1"/>
  <c r="B120" i="1"/>
  <c r="B116" i="1"/>
  <c r="B112" i="1"/>
  <c r="B102" i="1"/>
  <c r="B98" i="1"/>
  <c r="B94" i="1"/>
  <c r="B90" i="1"/>
  <c r="B79" i="1"/>
  <c r="B75" i="1"/>
  <c r="B36" i="1"/>
  <c r="B32" i="1"/>
  <c r="B28" i="1"/>
  <c r="B24" i="1"/>
  <c r="B130" i="1"/>
  <c r="B33" i="1"/>
  <c r="F131" i="1"/>
  <c r="G131" i="1" s="1"/>
  <c r="E131" i="1" s="1"/>
  <c r="F118" i="1"/>
  <c r="G118" i="1" s="1"/>
  <c r="E118" i="1" s="1"/>
  <c r="F99" i="1"/>
  <c r="G99" i="1" s="1"/>
  <c r="E99" i="1" s="1"/>
  <c r="F95" i="1"/>
  <c r="G95" i="1" s="1"/>
  <c r="E95" i="1" s="1"/>
  <c r="F91" i="1"/>
  <c r="G91" i="1" s="1"/>
  <c r="E91" i="1" s="1"/>
  <c r="F80" i="1"/>
  <c r="G80" i="1" s="1"/>
  <c r="E80" i="1" s="1"/>
  <c r="F76" i="1"/>
  <c r="G76" i="1" s="1"/>
  <c r="E76" i="1" s="1"/>
  <c r="F72" i="1"/>
  <c r="G72" i="1" s="1"/>
  <c r="E72" i="1" s="1"/>
  <c r="F33" i="1"/>
  <c r="G33" i="1" s="1"/>
  <c r="E33" i="1" s="1"/>
  <c r="F29" i="1"/>
  <c r="G29" i="1" s="1"/>
  <c r="E29" i="1" s="1"/>
  <c r="F25" i="1"/>
  <c r="G25" i="1" s="1"/>
  <c r="E25" i="1" s="1"/>
  <c r="B117" i="1"/>
  <c r="B103" i="1"/>
  <c r="B72" i="1"/>
  <c r="F104" i="1"/>
  <c r="G104" i="1" s="1"/>
  <c r="E104" i="1" s="1"/>
  <c r="F130" i="1"/>
  <c r="G130" i="1" s="1"/>
  <c r="E130" i="1" s="1"/>
  <c r="B136" i="1"/>
  <c r="B132" i="1"/>
  <c r="B128" i="1"/>
  <c r="B119" i="1"/>
  <c r="B115" i="1"/>
  <c r="B105" i="1"/>
  <c r="B101" i="1"/>
  <c r="B97" i="1"/>
  <c r="B93" i="1"/>
  <c r="B83" i="1"/>
  <c r="B78" i="1"/>
  <c r="B74" i="1"/>
  <c r="B35" i="1"/>
  <c r="B31" i="1"/>
  <c r="B27" i="1"/>
  <c r="B23" i="1"/>
  <c r="B80" i="1"/>
  <c r="B29" i="1"/>
  <c r="H29" i="1" s="1" a="1"/>
  <c r="H29" i="1" s="1"/>
  <c r="F81" i="1"/>
  <c r="G81" i="1" s="1"/>
  <c r="E81" i="1" s="1"/>
  <c r="F108" i="1"/>
  <c r="G108" i="1" s="1"/>
  <c r="E108" i="1" s="1"/>
  <c r="F117" i="1"/>
  <c r="G117" i="1" s="1"/>
  <c r="E117" i="1" s="1"/>
  <c r="F133" i="1"/>
  <c r="G133" i="1" s="1"/>
  <c r="E133" i="1" s="1"/>
  <c r="F129" i="1"/>
  <c r="G129" i="1" s="1"/>
  <c r="E129" i="1" s="1"/>
  <c r="F120" i="1"/>
  <c r="G120" i="1" s="1"/>
  <c r="E120" i="1" s="1"/>
  <c r="F116" i="1"/>
  <c r="G116" i="1" s="1"/>
  <c r="E116" i="1" s="1"/>
  <c r="F112" i="1"/>
  <c r="G112" i="1" s="1"/>
  <c r="E112" i="1" s="1"/>
  <c r="F102" i="1"/>
  <c r="G102" i="1" s="1"/>
  <c r="E102" i="1" s="1"/>
  <c r="F98" i="1"/>
  <c r="G98" i="1" s="1"/>
  <c r="E98" i="1" s="1"/>
  <c r="F94" i="1"/>
  <c r="G94" i="1" s="1"/>
  <c r="E94" i="1" s="1"/>
  <c r="F90" i="1"/>
  <c r="G90" i="1" s="1"/>
  <c r="E90" i="1" s="1"/>
  <c r="F79" i="1"/>
  <c r="G79" i="1" s="1"/>
  <c r="E79" i="1" s="1"/>
  <c r="F75" i="1"/>
  <c r="G75" i="1" s="1"/>
  <c r="E75" i="1" s="1"/>
  <c r="F36" i="1"/>
  <c r="G36" i="1" s="1"/>
  <c r="E36" i="1" s="1"/>
  <c r="F32" i="1"/>
  <c r="G32" i="1" s="1"/>
  <c r="E32" i="1" s="1"/>
  <c r="F28" i="1"/>
  <c r="G28" i="1" s="1"/>
  <c r="E28" i="1" s="1"/>
  <c r="F24" i="1"/>
  <c r="G24" i="1" s="1"/>
  <c r="E24" i="1" s="1"/>
  <c r="B76" i="1"/>
  <c r="F135" i="1"/>
  <c r="G135" i="1" s="1"/>
  <c r="E135" i="1" s="1"/>
  <c r="F134" i="1"/>
  <c r="G134" i="1" s="1"/>
  <c r="E134" i="1" s="1"/>
  <c r="F103" i="1"/>
  <c r="G103" i="1" s="1"/>
  <c r="E103" i="1" s="1"/>
  <c r="B135" i="1"/>
  <c r="B131" i="1"/>
  <c r="B127" i="1"/>
  <c r="H127" i="1" s="1" a="1"/>
  <c r="H127" i="1" s="1"/>
  <c r="B118" i="1"/>
  <c r="B114" i="1"/>
  <c r="B104" i="1"/>
  <c r="B100" i="1"/>
  <c r="B96" i="1"/>
  <c r="B92" i="1"/>
  <c r="B81" i="1"/>
  <c r="B77" i="1"/>
  <c r="B73" i="1"/>
  <c r="B34" i="1"/>
  <c r="H34" i="1" s="1" a="1"/>
  <c r="H34" i="1" s="1"/>
  <c r="B30" i="1"/>
  <c r="H30" i="1" s="1" a="1"/>
  <c r="H30" i="1" s="1"/>
  <c r="B26" i="1"/>
  <c r="H26" i="1" s="1" a="1"/>
  <c r="H26" i="1" s="1"/>
  <c r="B22" i="1"/>
  <c r="H22" i="1" s="1" a="1"/>
  <c r="H22" i="1" s="1"/>
  <c r="F21" i="1"/>
  <c r="G21" i="1" s="1"/>
  <c r="E21" i="1" s="1"/>
  <c r="B21" i="1"/>
  <c r="F19" i="1"/>
  <c r="G19" i="1" s="1"/>
  <c r="E19" i="1" s="1"/>
  <c r="F15" i="1"/>
  <c r="G15" i="1" s="1"/>
  <c r="E15" i="1" s="1"/>
  <c r="F11" i="1"/>
  <c r="G11" i="1" s="1"/>
  <c r="E11" i="1" s="1"/>
  <c r="F107" i="1"/>
  <c r="G107" i="1" s="1"/>
  <c r="E107" i="1" s="1"/>
  <c r="B13" i="1"/>
  <c r="F18" i="1"/>
  <c r="G18" i="1" s="1"/>
  <c r="E18" i="1" s="1"/>
  <c r="F14" i="1"/>
  <c r="G14" i="1" s="1"/>
  <c r="E14" i="1" s="1"/>
  <c r="F10" i="1"/>
  <c r="G10" i="1" s="1"/>
  <c r="E10" i="1" s="1"/>
  <c r="F2" i="1"/>
  <c r="G2" i="1" s="1"/>
  <c r="E2" i="1" s="1"/>
  <c r="F106" i="1"/>
  <c r="G106" i="1" s="1"/>
  <c r="E106" i="1" s="1"/>
  <c r="B20" i="1"/>
  <c r="B16" i="1"/>
  <c r="B12" i="1"/>
  <c r="B110" i="1"/>
  <c r="F17" i="1"/>
  <c r="G17" i="1" s="1"/>
  <c r="E17" i="1" s="1"/>
  <c r="F13" i="1"/>
  <c r="G13" i="1" s="1"/>
  <c r="E13" i="1" s="1"/>
  <c r="F9" i="1"/>
  <c r="G9" i="1" s="1"/>
  <c r="E9" i="1" s="1"/>
  <c r="F111" i="1"/>
  <c r="G111" i="1" s="1"/>
  <c r="E111" i="1" s="1"/>
  <c r="B17" i="1"/>
  <c r="B19" i="1"/>
  <c r="B15" i="1"/>
  <c r="B11" i="1"/>
  <c r="B107" i="1"/>
  <c r="B9" i="1"/>
  <c r="F20" i="1"/>
  <c r="G20" i="1" s="1"/>
  <c r="E20" i="1" s="1"/>
  <c r="F16" i="1"/>
  <c r="G16" i="1" s="1"/>
  <c r="E16" i="1" s="1"/>
  <c r="F12" i="1"/>
  <c r="G12" i="1" s="1"/>
  <c r="E12" i="1" s="1"/>
  <c r="F110" i="1"/>
  <c r="G110" i="1" s="1"/>
  <c r="E110" i="1" s="1"/>
  <c r="B111" i="1"/>
  <c r="B18" i="1"/>
  <c r="H18" i="1" s="1" a="1"/>
  <c r="H18" i="1" s="1"/>
  <c r="B14" i="1"/>
  <c r="H14" i="1" s="1" a="1"/>
  <c r="H14" i="1" s="1"/>
  <c r="B10" i="1"/>
  <c r="B2" i="1"/>
  <c r="H2" i="1" s="1" a="1"/>
  <c r="H2" i="1" s="1"/>
  <c r="B106" i="1"/>
  <c r="F87" i="1"/>
  <c r="G87" i="1" s="1"/>
  <c r="E87" i="1" s="1"/>
  <c r="F45" i="1"/>
  <c r="G45" i="1" s="1"/>
  <c r="E45" i="1" s="1"/>
  <c r="F41" i="1"/>
  <c r="G41" i="1" s="1"/>
  <c r="E41" i="1" s="1"/>
  <c r="B89" i="1"/>
  <c r="B47" i="1"/>
  <c r="F82" i="1"/>
  <c r="G82" i="1" s="1"/>
  <c r="E82" i="1" s="1"/>
  <c r="F52" i="1"/>
  <c r="G52" i="1" s="1"/>
  <c r="E52" i="1" s="1"/>
  <c r="F48" i="1"/>
  <c r="G48" i="1" s="1"/>
  <c r="E48" i="1" s="1"/>
  <c r="F44" i="1"/>
  <c r="G44" i="1" s="1"/>
  <c r="E44" i="1" s="1"/>
  <c r="F40" i="1"/>
  <c r="G40" i="1" s="1"/>
  <c r="E40" i="1" s="1"/>
  <c r="B52" i="1"/>
  <c r="B44" i="1"/>
  <c r="F53" i="1"/>
  <c r="G53" i="1" s="1"/>
  <c r="E53" i="1" s="1"/>
  <c r="F86" i="1"/>
  <c r="G86" i="1" s="1"/>
  <c r="E86" i="1" s="1"/>
  <c r="B88" i="1"/>
  <c r="B84" i="1"/>
  <c r="B54" i="1"/>
  <c r="B50" i="1"/>
  <c r="B46" i="1"/>
  <c r="B42" i="1"/>
  <c r="B82" i="1"/>
  <c r="F109" i="1"/>
  <c r="G109" i="1" s="1"/>
  <c r="E109" i="1" s="1"/>
  <c r="B85" i="1"/>
  <c r="F89" i="1"/>
  <c r="G89" i="1" s="1"/>
  <c r="E89" i="1" s="1"/>
  <c r="F85" i="1"/>
  <c r="G85" i="1" s="1"/>
  <c r="E85" i="1" s="1"/>
  <c r="F55" i="1"/>
  <c r="G55" i="1" s="1"/>
  <c r="E55" i="1" s="1"/>
  <c r="F51" i="1"/>
  <c r="G51" i="1" s="1"/>
  <c r="E51" i="1" s="1"/>
  <c r="F47" i="1"/>
  <c r="G47" i="1" s="1"/>
  <c r="E47" i="1" s="1"/>
  <c r="F43" i="1"/>
  <c r="G43" i="1" s="1"/>
  <c r="E43" i="1" s="1"/>
  <c r="B48" i="1"/>
  <c r="F49" i="1"/>
  <c r="G49" i="1" s="1"/>
  <c r="E49" i="1" s="1"/>
  <c r="B55" i="1"/>
  <c r="B87" i="1"/>
  <c r="H87" i="1" s="1" a="1"/>
  <c r="H87" i="1" s="1"/>
  <c r="B109" i="1"/>
  <c r="B53" i="1"/>
  <c r="B49" i="1"/>
  <c r="B45" i="1"/>
  <c r="B41" i="1"/>
  <c r="B86" i="1"/>
  <c r="B51" i="1"/>
  <c r="B43" i="1"/>
  <c r="F88" i="1"/>
  <c r="G88" i="1" s="1"/>
  <c r="E88" i="1" s="1"/>
  <c r="F84" i="1"/>
  <c r="G84" i="1" s="1"/>
  <c r="E84" i="1" s="1"/>
  <c r="F54" i="1"/>
  <c r="G54" i="1" s="1"/>
  <c r="E54" i="1" s="1"/>
  <c r="F50" i="1"/>
  <c r="G50" i="1" s="1"/>
  <c r="E50" i="1" s="1"/>
  <c r="F46" i="1"/>
  <c r="G46" i="1" s="1"/>
  <c r="E46" i="1" s="1"/>
  <c r="F42" i="1"/>
  <c r="G42" i="1" s="1"/>
  <c r="E42" i="1" s="1"/>
  <c r="B40" i="1"/>
  <c r="B140" i="1"/>
  <c r="B63" i="1"/>
  <c r="B145" i="1"/>
  <c r="B137" i="1"/>
  <c r="B56" i="1"/>
  <c r="B144" i="1"/>
  <c r="B59" i="1"/>
  <c r="B147" i="1"/>
  <c r="B143" i="1"/>
  <c r="B139" i="1"/>
  <c r="B70" i="1"/>
  <c r="B66" i="1"/>
  <c r="B62" i="1"/>
  <c r="B58" i="1"/>
  <c r="B125" i="1"/>
  <c r="B67" i="1"/>
  <c r="B39" i="1"/>
  <c r="B142" i="1"/>
  <c r="B69" i="1"/>
  <c r="B65" i="1"/>
  <c r="B61" i="1"/>
  <c r="B124" i="1"/>
  <c r="B37" i="1"/>
  <c r="B126" i="1"/>
  <c r="B146" i="1"/>
  <c r="B138" i="1"/>
  <c r="B57" i="1"/>
  <c r="B71" i="1"/>
  <c r="B38" i="1"/>
  <c r="B141" i="1"/>
  <c r="B68" i="1"/>
  <c r="B64" i="1"/>
  <c r="B60" i="1"/>
  <c r="B123" i="1"/>
  <c r="B122" i="1"/>
  <c r="H121" i="1" a="1"/>
  <c r="H121" i="1" s="1"/>
  <c r="D123" i="1"/>
  <c r="D124" i="1"/>
  <c r="D125" i="1"/>
  <c r="D126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137" i="1"/>
  <c r="D138" i="1"/>
  <c r="D139" i="1"/>
  <c r="D140" i="1"/>
  <c r="D141" i="1"/>
  <c r="D142" i="1"/>
  <c r="D143" i="1"/>
  <c r="D144" i="1"/>
  <c r="D145" i="1"/>
  <c r="D146" i="1"/>
  <c r="D147" i="1"/>
  <c r="D37" i="1"/>
  <c r="D38" i="1"/>
  <c r="D39" i="1"/>
  <c r="D122" i="1"/>
  <c r="C123" i="1"/>
  <c r="C124" i="1"/>
  <c r="C125" i="1"/>
  <c r="C126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137" i="1"/>
  <c r="C138" i="1"/>
  <c r="C139" i="1"/>
  <c r="C140" i="1"/>
  <c r="C141" i="1"/>
  <c r="C142" i="1"/>
  <c r="C143" i="1"/>
  <c r="C144" i="1"/>
  <c r="C145" i="1"/>
  <c r="C146" i="1"/>
  <c r="C147" i="1"/>
  <c r="C37" i="1"/>
  <c r="C38" i="1"/>
  <c r="C39" i="1"/>
  <c r="C122" i="1"/>
  <c r="E121" i="1"/>
  <c r="F65" i="1" a="1"/>
  <c r="F71" i="1" a="1"/>
  <c r="F64" i="1" a="1"/>
  <c r="F124" i="1" a="1"/>
  <c r="F125" i="1" a="1"/>
  <c r="F66" i="1" a="1"/>
  <c r="F70" i="1" a="1"/>
  <c r="F68" i="1" a="1"/>
  <c r="F69" i="1" a="1"/>
  <c r="F59" i="1" a="1"/>
  <c r="F57" i="1" a="1"/>
  <c r="F63" i="1" a="1"/>
  <c r="F123" i="1" a="1"/>
  <c r="F56" i="1" a="1"/>
  <c r="F60" i="1" a="1"/>
  <c r="F137" i="1" a="1"/>
  <c r="F141" i="1" a="1"/>
  <c r="F58" i="1" a="1"/>
  <c r="F38" i="1" a="1"/>
  <c r="F142" i="1" a="1"/>
  <c r="F143" i="1" a="1"/>
  <c r="F61" i="1" a="1"/>
  <c r="F138" i="1" a="1"/>
  <c r="F39" i="1" a="1"/>
  <c r="F139" i="1" a="1"/>
  <c r="F126" i="1" a="1"/>
  <c r="F144" i="1" a="1"/>
  <c r="F122" i="1" a="1"/>
  <c r="F140" i="1" a="1"/>
  <c r="F146" i="1" a="1"/>
  <c r="F62" i="1" a="1"/>
  <c r="F147" i="1" a="1"/>
  <c r="F67" i="1" a="1"/>
  <c r="F37" i="1" a="1"/>
  <c r="F145" i="1" a="1"/>
  <c r="H8" i="1" l="1" a="1"/>
  <c r="H8" i="1" s="1"/>
  <c r="H3" i="1" a="1"/>
  <c r="H3" i="1" s="1"/>
  <c r="H74" i="1" a="1"/>
  <c r="H74" i="1" s="1"/>
  <c r="H119" i="1" a="1"/>
  <c r="H119" i="1" s="1"/>
  <c r="H4" i="1" a="1"/>
  <c r="H4" i="1" s="1"/>
  <c r="H92" i="1" a="1"/>
  <c r="H92" i="1" s="1"/>
  <c r="H10" i="1" a="1"/>
  <c r="H10" i="1" s="1"/>
  <c r="H7" i="1" a="1"/>
  <c r="H7" i="1" s="1"/>
  <c r="H5" i="1" a="1"/>
  <c r="H5" i="1" s="1"/>
  <c r="H6" i="1" a="1"/>
  <c r="H6" i="1" s="1"/>
  <c r="H77" i="1" a="1"/>
  <c r="H77" i="1" s="1"/>
  <c r="H73" i="1" a="1"/>
  <c r="H73" i="1" s="1"/>
  <c r="H104" i="1" a="1"/>
  <c r="H104" i="1" s="1"/>
  <c r="H31" i="1" a="1"/>
  <c r="H31" i="1" s="1"/>
  <c r="H105" i="1" a="1"/>
  <c r="H105" i="1" s="1"/>
  <c r="H131" i="1" a="1"/>
  <c r="H131" i="1" s="1"/>
  <c r="H76" i="1" a="1"/>
  <c r="H76" i="1" s="1"/>
  <c r="H36" i="1" a="1"/>
  <c r="H36" i="1" s="1"/>
  <c r="H118" i="1" a="1"/>
  <c r="H118" i="1" s="1"/>
  <c r="H116" i="1" a="1"/>
  <c r="H116" i="1" s="1"/>
  <c r="H23" i="1" a="1"/>
  <c r="H23" i="1" s="1"/>
  <c r="H97" i="1" a="1"/>
  <c r="H97" i="1" s="1"/>
  <c r="H33" i="1" a="1"/>
  <c r="H33" i="1" s="1"/>
  <c r="H113" i="1" a="1"/>
  <c r="H113" i="1" s="1"/>
  <c r="H80" i="1" a="1"/>
  <c r="H80" i="1" s="1"/>
  <c r="H93" i="1" a="1"/>
  <c r="H93" i="1" s="1"/>
  <c r="H136" i="1" a="1"/>
  <c r="H136" i="1" s="1"/>
  <c r="H72" i="1" a="1"/>
  <c r="H72" i="1" s="1"/>
  <c r="H27" i="1" a="1"/>
  <c r="H27" i="1" s="1"/>
  <c r="H101" i="1" a="1"/>
  <c r="H101" i="1" s="1"/>
  <c r="H128" i="1" a="1"/>
  <c r="H128" i="1" s="1"/>
  <c r="H78" i="1" a="1"/>
  <c r="H78" i="1" s="1"/>
  <c r="H96" i="1" a="1"/>
  <c r="H96" i="1" s="1"/>
  <c r="H100" i="1" a="1"/>
  <c r="H100" i="1" s="1"/>
  <c r="H117" i="1" a="1"/>
  <c r="H117" i="1" s="1"/>
  <c r="H112" i="1" a="1"/>
  <c r="H112" i="1" s="1"/>
  <c r="H81" i="1" a="1"/>
  <c r="H81" i="1" s="1"/>
  <c r="H83" i="1" a="1"/>
  <c r="H83" i="1" s="1"/>
  <c r="H132" i="1" a="1"/>
  <c r="H132" i="1" s="1"/>
  <c r="H75" i="1" a="1"/>
  <c r="H75" i="1" s="1"/>
  <c r="H120" i="1" a="1"/>
  <c r="H120" i="1" s="1"/>
  <c r="H134" i="1" a="1"/>
  <c r="H134" i="1" s="1"/>
  <c r="H21" i="1" a="1"/>
  <c r="H21" i="1" s="1"/>
  <c r="H135" i="1" a="1"/>
  <c r="H135" i="1" s="1"/>
  <c r="H79" i="1" a="1"/>
  <c r="H79" i="1" s="1"/>
  <c r="H129" i="1" a="1"/>
  <c r="H129" i="1" s="1"/>
  <c r="H95" i="1" a="1"/>
  <c r="H95" i="1" s="1"/>
  <c r="H90" i="1" a="1"/>
  <c r="H90" i="1" s="1"/>
  <c r="H133" i="1" a="1"/>
  <c r="H133" i="1" s="1"/>
  <c r="H91" i="1" a="1"/>
  <c r="H91" i="1" s="1"/>
  <c r="H130" i="1" a="1"/>
  <c r="H130" i="1" s="1"/>
  <c r="H94" i="1" a="1"/>
  <c r="H94" i="1" s="1"/>
  <c r="H99" i="1" a="1"/>
  <c r="H99" i="1" s="1"/>
  <c r="H98" i="1" a="1"/>
  <c r="H98" i="1" s="1"/>
  <c r="H114" i="1" a="1"/>
  <c r="H114" i="1" s="1"/>
  <c r="H35" i="1" a="1"/>
  <c r="H35" i="1" s="1"/>
  <c r="H115" i="1" a="1"/>
  <c r="H115" i="1" s="1"/>
  <c r="H103" i="1" a="1"/>
  <c r="H103" i="1" s="1"/>
  <c r="H102" i="1" a="1"/>
  <c r="H102" i="1" s="1"/>
  <c r="H108" i="1" a="1"/>
  <c r="H108" i="1" s="1"/>
  <c r="H25" i="1" a="1"/>
  <c r="H25" i="1" s="1"/>
  <c r="H24" i="1" a="1"/>
  <c r="H24" i="1" s="1"/>
  <c r="H28" i="1" a="1"/>
  <c r="H28" i="1" s="1"/>
  <c r="H32" i="1" a="1"/>
  <c r="H32" i="1" s="1"/>
  <c r="H106" i="1" a="1"/>
  <c r="H106" i="1" s="1"/>
  <c r="H19" i="1" a="1"/>
  <c r="H19" i="1" s="1"/>
  <c r="H111" i="1" a="1"/>
  <c r="H111" i="1" s="1"/>
  <c r="H15" i="1" a="1"/>
  <c r="H15" i="1" s="1"/>
  <c r="H43" i="1" a="1"/>
  <c r="H43" i="1" s="1"/>
  <c r="H20" i="1" a="1"/>
  <c r="H20" i="1" s="1"/>
  <c r="H41" i="1" a="1"/>
  <c r="H41" i="1" s="1"/>
  <c r="H13" i="1" a="1"/>
  <c r="H13" i="1" s="1"/>
  <c r="H48" i="1" a="1"/>
  <c r="H48" i="1" s="1"/>
  <c r="H11" i="1" a="1"/>
  <c r="H11" i="1" s="1"/>
  <c r="H53" i="1" a="1"/>
  <c r="H53" i="1" s="1"/>
  <c r="H17" i="1" a="1"/>
  <c r="H17" i="1" s="1"/>
  <c r="H54" i="1" a="1"/>
  <c r="H54" i="1" s="1"/>
  <c r="H107" i="1" a="1"/>
  <c r="H107" i="1" s="1"/>
  <c r="H86" i="1" a="1"/>
  <c r="H86" i="1" s="1"/>
  <c r="H85" i="1" a="1"/>
  <c r="H85" i="1" s="1"/>
  <c r="H88" i="1" a="1"/>
  <c r="H88" i="1" s="1"/>
  <c r="H16" i="1" a="1"/>
  <c r="H16" i="1" s="1"/>
  <c r="H45" i="1" a="1"/>
  <c r="H45" i="1" s="1"/>
  <c r="H82" i="1" a="1"/>
  <c r="H82" i="1" s="1"/>
  <c r="H110" i="1" a="1"/>
  <c r="H110" i="1" s="1"/>
  <c r="H109" i="1" a="1"/>
  <c r="H109" i="1" s="1"/>
  <c r="H40" i="1" a="1"/>
  <c r="H40" i="1" s="1"/>
  <c r="H51" i="1" a="1"/>
  <c r="H51" i="1" s="1"/>
  <c r="H9" i="1" a="1"/>
  <c r="H9" i="1" s="1"/>
  <c r="H12" i="1" a="1"/>
  <c r="H12" i="1" s="1"/>
  <c r="H55" i="1" a="1"/>
  <c r="H55" i="1" s="1"/>
  <c r="H84" i="1" a="1"/>
  <c r="H84" i="1" s="1"/>
  <c r="H47" i="1" a="1"/>
  <c r="H47" i="1" s="1"/>
  <c r="H49" i="1" a="1"/>
  <c r="H49" i="1" s="1"/>
  <c r="H42" i="1" a="1"/>
  <c r="H42" i="1" s="1"/>
  <c r="H44" i="1" a="1"/>
  <c r="H44" i="1" s="1"/>
  <c r="H89" i="1" a="1"/>
  <c r="H89" i="1" s="1"/>
  <c r="H46" i="1" a="1"/>
  <c r="H46" i="1" s="1"/>
  <c r="H52" i="1" a="1"/>
  <c r="H52" i="1" s="1"/>
  <c r="H50" i="1" a="1"/>
  <c r="H50" i="1" s="1"/>
  <c r="F37" i="1"/>
  <c r="G37" i="1" s="1"/>
  <c r="E37" i="1" s="1"/>
  <c r="F144" i="1"/>
  <c r="E144" i="1" s="1"/>
  <c r="F140" i="1"/>
  <c r="G140" i="1" s="1"/>
  <c r="E140" i="1" s="1"/>
  <c r="F71" i="1"/>
  <c r="G71" i="1" s="1"/>
  <c r="E71" i="1" s="1"/>
  <c r="F67" i="1"/>
  <c r="G67" i="1" s="1"/>
  <c r="E67" i="1" s="1"/>
  <c r="F63" i="1"/>
  <c r="G63" i="1" s="1"/>
  <c r="E63" i="1" s="1"/>
  <c r="F59" i="1"/>
  <c r="G59" i="1" s="1"/>
  <c r="E59" i="1" s="1"/>
  <c r="F126" i="1"/>
  <c r="G126" i="1" s="1"/>
  <c r="E126" i="1" s="1"/>
  <c r="F147" i="1"/>
  <c r="G147" i="1" s="1"/>
  <c r="E147" i="1" s="1"/>
  <c r="F139" i="1"/>
  <c r="G139" i="1" s="1"/>
  <c r="E139" i="1" s="1"/>
  <c r="F70" i="1"/>
  <c r="G70" i="1" s="1"/>
  <c r="E70" i="1" s="1"/>
  <c r="F66" i="1"/>
  <c r="G66" i="1" s="1"/>
  <c r="E66" i="1" s="1"/>
  <c r="F62" i="1"/>
  <c r="G62" i="1" s="1"/>
  <c r="E62" i="1" s="1"/>
  <c r="F58" i="1"/>
  <c r="G58" i="1" s="1"/>
  <c r="E58" i="1" s="1"/>
  <c r="F125" i="1"/>
  <c r="G125" i="1" s="1"/>
  <c r="E125" i="1" s="1"/>
  <c r="F39" i="1"/>
  <c r="G39" i="1" s="1"/>
  <c r="E39" i="1" s="1"/>
  <c r="F146" i="1"/>
  <c r="G146" i="1" s="1"/>
  <c r="E146" i="1" s="1"/>
  <c r="F138" i="1"/>
  <c r="G138" i="1" s="1"/>
  <c r="E138" i="1" s="1"/>
  <c r="F69" i="1"/>
  <c r="G69" i="1" s="1"/>
  <c r="E69" i="1" s="1"/>
  <c r="F65" i="1"/>
  <c r="G65" i="1" s="1"/>
  <c r="E65" i="1" s="1"/>
  <c r="F61" i="1"/>
  <c r="G61" i="1" s="1"/>
  <c r="E61" i="1" s="1"/>
  <c r="F57" i="1"/>
  <c r="G57" i="1" s="1"/>
  <c r="E57" i="1" s="1"/>
  <c r="F124" i="1"/>
  <c r="G124" i="1" s="1"/>
  <c r="E124" i="1" s="1"/>
  <c r="F143" i="1"/>
  <c r="G143" i="1" s="1"/>
  <c r="F142" i="1"/>
  <c r="G142" i="1" s="1"/>
  <c r="E142" i="1" s="1"/>
  <c r="F38" i="1"/>
  <c r="G38" i="1" s="1"/>
  <c r="E38" i="1" s="1"/>
  <c r="F145" i="1"/>
  <c r="G145" i="1" s="1"/>
  <c r="E145" i="1" s="1"/>
  <c r="F141" i="1"/>
  <c r="G141" i="1" s="1"/>
  <c r="E141" i="1" s="1"/>
  <c r="F137" i="1"/>
  <c r="G137" i="1" s="1"/>
  <c r="E137" i="1" s="1"/>
  <c r="F68" i="1"/>
  <c r="G68" i="1" s="1"/>
  <c r="E68" i="1" s="1"/>
  <c r="F64" i="1"/>
  <c r="G64" i="1" s="1"/>
  <c r="E64" i="1" s="1"/>
  <c r="F60" i="1"/>
  <c r="G60" i="1" s="1"/>
  <c r="E60" i="1" s="1"/>
  <c r="F56" i="1"/>
  <c r="G56" i="1" s="1"/>
  <c r="E56" i="1" s="1"/>
  <c r="F123" i="1"/>
  <c r="G123" i="1" s="1"/>
  <c r="E123" i="1" s="1"/>
  <c r="F122" i="1"/>
  <c r="G122" i="1" s="1"/>
  <c r="E122" i="1" s="1"/>
  <c r="H125" i="1" l="1" a="1"/>
  <c r="H125" i="1" s="1"/>
  <c r="H60" i="1" a="1"/>
  <c r="H60" i="1" s="1"/>
  <c r="H64" i="1" a="1"/>
  <c r="H64" i="1" s="1"/>
  <c r="H126" i="1" a="1"/>
  <c r="H126" i="1" s="1"/>
  <c r="H69" i="1" a="1"/>
  <c r="H69" i="1" s="1"/>
  <c r="H39" i="1" a="1"/>
  <c r="H39" i="1" s="1"/>
  <c r="H59" i="1" a="1"/>
  <c r="H59" i="1" s="1"/>
  <c r="H58" i="1" a="1"/>
  <c r="H58" i="1" s="1"/>
  <c r="H68" i="1" a="1"/>
  <c r="H68" i="1" s="1"/>
  <c r="H142" i="1" a="1"/>
  <c r="H142" i="1" s="1"/>
  <c r="H63" i="1" a="1"/>
  <c r="H63" i="1" s="1"/>
  <c r="E143" i="1"/>
  <c r="H141" i="1" a="1"/>
  <c r="H141" i="1" s="1"/>
  <c r="H124" i="1" a="1"/>
  <c r="H124" i="1" s="1"/>
  <c r="H70" i="1" a="1"/>
  <c r="H70" i="1" s="1"/>
  <c r="H71" i="1" a="1"/>
  <c r="H71" i="1" s="1"/>
  <c r="H66" i="1" a="1"/>
  <c r="H66" i="1" s="1"/>
  <c r="H122" i="1" a="1"/>
  <c r="H122" i="1" s="1"/>
  <c r="H145" i="1" a="1"/>
  <c r="H145" i="1" s="1"/>
  <c r="H65" i="1" a="1"/>
  <c r="H65" i="1" s="1"/>
  <c r="H139" i="1" a="1"/>
  <c r="H139" i="1" s="1"/>
  <c r="H140" i="1" a="1"/>
  <c r="H140" i="1" s="1"/>
  <c r="H62" i="1" a="1"/>
  <c r="H62" i="1" s="1"/>
  <c r="H67" i="1" a="1"/>
  <c r="H67" i="1" s="1"/>
  <c r="H123" i="1" a="1"/>
  <c r="H123" i="1" s="1"/>
  <c r="H38" i="1" a="1"/>
  <c r="H38" i="1" s="1"/>
  <c r="H138" i="1" a="1"/>
  <c r="H138" i="1" s="1"/>
  <c r="H143" i="1" a="1"/>
  <c r="H143" i="1" s="1"/>
  <c r="H144" i="1" a="1"/>
  <c r="H144" i="1" s="1"/>
  <c r="H61" i="1" a="1"/>
  <c r="H61" i="1" s="1"/>
  <c r="H137" i="1" a="1"/>
  <c r="H137" i="1" s="1"/>
  <c r="H56" i="1" a="1"/>
  <c r="H56" i="1" s="1"/>
  <c r="H57" i="1" a="1"/>
  <c r="H57" i="1" s="1"/>
  <c r="H146" i="1" a="1"/>
  <c r="H146" i="1" s="1"/>
  <c r="H147" i="1" a="1"/>
  <c r="H147" i="1" s="1"/>
  <c r="H37" i="1" a="1"/>
  <c r="H3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<sst xmlns="http://schemas.openxmlformats.org/spreadsheetml/2006/main" count="369" uniqueCount="27">
  <si>
    <t>测定车辆数</t>
    <phoneticPr fontId="1" type="noConversion"/>
  </si>
  <si>
    <t>路段长度（千米）</t>
    <phoneticPr fontId="1" type="noConversion"/>
  </si>
  <si>
    <t>道路限速</t>
    <phoneticPr fontId="1" type="noConversion"/>
  </si>
  <si>
    <t>测定车辆数总通过时长（小时）</t>
    <phoneticPr fontId="1" type="noConversion"/>
  </si>
  <si>
    <t>拥堵程度</t>
    <phoneticPr fontId="1" type="noConversion"/>
  </si>
  <si>
    <t>道路类型</t>
    <phoneticPr fontId="1" type="noConversion"/>
  </si>
  <si>
    <t>主干路</t>
    <phoneticPr fontId="1" type="noConversion"/>
  </si>
  <si>
    <t>平均行程速度</t>
    <phoneticPr fontId="1" type="noConversion"/>
  </si>
  <si>
    <t>次干路</t>
    <phoneticPr fontId="1" type="noConversion"/>
  </si>
  <si>
    <t>公路</t>
    <phoneticPr fontId="1" type="noConversion"/>
  </si>
  <si>
    <t>城市快速路</t>
    <phoneticPr fontId="1" type="noConversion"/>
  </si>
  <si>
    <t>路段编号</t>
  </si>
  <si>
    <t>路段编号</t>
    <phoneticPr fontId="1" type="noConversion"/>
  </si>
  <si>
    <t>道路类型</t>
  </si>
  <si>
    <t>测定车辆数</t>
  </si>
  <si>
    <t>路段长度（千米）</t>
  </si>
  <si>
    <t>测定车辆数总通过时长（小时）</t>
  </si>
  <si>
    <t>道路限速</t>
  </si>
  <si>
    <t>拥堵程度</t>
  </si>
  <si>
    <t>次干路</t>
  </si>
  <si>
    <t>严重拥堵</t>
  </si>
  <si>
    <t>主干路</t>
  </si>
  <si>
    <t>畅通</t>
  </si>
  <si>
    <t>轻度拥堵</t>
  </si>
  <si>
    <t>中度拥堵</t>
  </si>
  <si>
    <t>城市快速路</t>
  </si>
  <si>
    <t>公路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</si>
</sst>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E099D8E-5C09-439A-9934-8BAEA42E208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352425</xdr:colOff>
      <xdr:row>0</xdr:row>
      <xdr:rowOff>161925</xdr:rowOff>
    </xdr:from>
    <xdr:to>
      <xdr:col>15</xdr:col>
      <xdr:colOff>570756</xdr:colOff>
      <xdr:row>17</xdr:row>
      <xdr:rowOff>37731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8319854-C3A4-4EBF-B1FE-5FCB9FC8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0" y="161925"/>
          <a:ext cx="5952381" cy="29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16</xdr:row>
      <xdr:rowOff>76200</xdr:rowOff>
    </xdr:from>
    <xdr:to>
      <xdr:col>15</xdr:col>
      <xdr:colOff>333993</xdr:colOff>
      <xdr:row>33</xdr:row>
      <xdr:rowOff>95250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D148C18-E830-43D0-9E88-390B40A3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2971800"/>
          <a:ext cx="5734668" cy="3095625"/>
        </a:xfrm>
        <a:prstGeom prst="rect">
          <a:avLst/>
        </a:prstGeom>
      </xdr:spPr>
    </xdr:pic>
    <xdr:clientData/>
  </xdr:twoCellAnchor>
  <xdr:twoCellAnchor editAs="oneCell">
    <xdr:from>
      <xdr:col>16</xdr:col>
      <xdr:colOff>209550</xdr:colOff>
      <xdr:row>0</xdr:row>
      <xdr:rowOff>85725</xdr:rowOff>
    </xdr:from>
    <xdr:to>
      <xdr:col>23</xdr:col>
      <xdr:colOff>647026</xdr:colOff>
      <xdr:row>17</xdr:row>
      <xdr:rowOff>28198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223888B-CA1F-41B0-B653-B8725D21D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40025" y="85725"/>
          <a:ext cx="5390476" cy="30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7"/>
  <sheetViews>
    <sheetView tabSelected="1" workbookViewId="0">
      <selection activeCell="E27" sqref="E27"/>
    </sheetView>
  </sheetViews>
  <sheetFormatPr defaultRowHeight="14.25" x14ac:dyDescent="0.2"/>
  <cols>
    <col min="1" max="2" width="11.375" customWidth="1"/>
    <col min="3" max="3" width="11" bestFit="1" customWidth="1"/>
    <col min="4" max="4" width="17.25" bestFit="1" customWidth="1"/>
    <col min="5" max="5" width="29.625" bestFit="1" customWidth="1"/>
    <col min="7" max="8" width="13" bestFit="1" customWidth="1"/>
    <col min="9" max="10" width="15.125" bestFit="1" customWidth="1"/>
    <col min="18" max="18" width="11" bestFit="1" customWidth="1"/>
  </cols>
  <sheetData>
    <row r="1" spans="1:8" x14ac:dyDescent="0.2">
      <c r="A1" s="1" t="s">
        <v>12</v>
      </c>
      <c r="B1" s="1" t="s">
        <v>5</v>
      </c>
      <c r="C1" s="1" t="s">
        <v>0</v>
      </c>
      <c r="D1" s="1" t="s">
        <v>1</v>
      </c>
      <c r="E1" s="1" t="s">
        <v>3</v>
      </c>
      <c r="F1" s="1" t="s">
        <v>2</v>
      </c>
      <c r="G1" s="1" t="s">
        <v>7</v>
      </c>
      <c r="H1" s="1" t="s">
        <v>4</v>
      </c>
    </row>
    <row r="2" spans="1:8" x14ac:dyDescent="0.2">
      <c r="A2">
        <v>1</v>
      </c>
      <c r="B2" t="str" cm="1">
        <f t="array" aca="1" ref="B2" ca="1">INDIRECT("s"&amp;RANDBETWEEN(22,23))</f>
        <v>主干路</v>
      </c>
      <c r="C2">
        <f ca="1">RANDBETWEEN(78,182)</f>
        <v>92</v>
      </c>
      <c r="D2">
        <f ca="1">RANDBETWEEN(5,30)/10</f>
        <v>1.3</v>
      </c>
      <c r="E2">
        <f ca="1">ROUND(C2*D2/G2,2)</f>
        <v>17.09</v>
      </c>
      <c r="F2" cm="1">
        <f t="array" aca="1" ref="F2" ca="1">INDIRECT("q"&amp;RANDBETWEEN(20,38))</f>
        <v>60</v>
      </c>
      <c r="G2">
        <f ca="1">RANDBETWEEN(1,F2)</f>
        <v>7</v>
      </c>
      <c r="H2" t="str" cm="1">
        <f t="array" aca="1" ref="H2" ca="1">IF(OR(B2="主干路",B2="次干路"),_xlfn.IFS(F2=40,_xlfn.IFS(G2&gt;=25,"畅通",AND(G2&gt;=20,G2&lt;25),"轻度拥堵",AND(G2&gt;=15,G2&lt;20),"中度拥堵",AND(G2&gt;=0,G2&lt;15),"严重拥堵"),F2&lt;40,_xlfn.IFS(G2&gt;=25,"畅通",AND(G2&gt;=20,G2&lt;25),"轻度拥堵",AND(G2&gt;=10,G2&lt;20),"中度拥堵",AND(G2&gt;=0,G2&lt;10),"严重拥堵"),F2=50,_xlfn.IFS(G2&gt;=30,"畅通",AND(G2&gt;=25,G2&lt;30),"轻度拥堵",AND(G2&gt;=15,G2&lt;25),"中度拥堵",AND(G2&gt;=0,G2&lt;15),"严重拥堵"),F2=60,_xlfn.IFS(G2&gt;=35,"畅通",AND(G2&gt;=30,G2&lt;35),"轻度拥堵",AND(G2&gt;=20,G2&lt;30),"中度拥堵",AND(G2&gt;=0,G2&lt;20),"严重拥堵"),F2=70,_xlfn.IFS(G2&gt;=40,"畅通",AND(G2&gt;=30,G2&lt;40),"轻度拥堵",AND(G2&gt;=20,G2&lt;30),"中度拥堵",AND(G2&gt;=0,G2&lt;20),"严重拥堵"),F2=80,_xlfn.IFS(G2&gt;=45,"畅通",AND(G2&gt;=30,G2&lt;45),"轻度拥堵",AND(G2&gt;=20,G2&lt;30),"中度拥堵",AND(G2&gt;=0,G2&lt;20),"严重拥堵")),_xlfn.IFS(F2&lt;60,_xlfn.IFS(G2&gt;=40,"畅通",AND(G2&gt;=30,G2&lt;40),"轻度拥堵",AND(G2&gt;=20,G2&lt;30),"中度拥堵",AND(G2&gt;=0,G2&lt;20),"严重拥堵"),F2=60,_xlfn.IFS(G2&gt;=40,"畅通",AND(G2&gt;=30,G2&lt;40),"轻度拥堵",AND(G2&gt;=20,G2&lt;30),"中度拥堵",AND(G2&gt;=0,G2&lt;20),"严重拥堵"),F2=70,_xlfn.IFS(G2&gt;=45,"畅通",AND(G2&gt;=20,G2&lt;25),"轻度拥堵",AND(G2&gt;=10,G2&lt;20),"中度拥堵",AND(G2&gt;=0,G2&lt;10),"严重拥堵"),F2=80,_xlfn.IFS(G2&gt;=50,"畅通",AND(G2&gt;=35,G2&lt;50),"轻度拥堵",AND(G2&gt;=20,G2&lt;35),"中度拥堵",AND(G2&gt;=0,G2&lt;20),"严重拥堵"),F2=90,_xlfn.IFS(G2&gt;=55,"畅通",AND(G2&gt;=35,G2&lt;55),"轻度拥堵",AND(G2&gt;=20,G2&lt;35),"中度拥堵",AND(G2&gt;=0,G2&lt;20),"严重拥堵"),F2=100,_xlfn.IFS(G2&gt;=60,"畅通",AND(G2&gt;=40,G2&lt;60),"轻度拥堵",AND(G2&gt;=20,G2&lt;40),"中度拥堵",AND(G2&gt;=0,G2&lt;20),"严重拥堵"),F2=110,_xlfn.IFS(G2&gt;=65,"畅通",AND(G2&gt;=45,G2&lt;65),"轻度拥堵",AND(G2&gt;=25,G2&lt;45),"中度拥堵",AND(G2&gt;=0,G2&lt;25),"严重拥堵"),F2=120,_xlfn.IFS(G2&gt;=70,"畅通",AND(G2&gt;=50,G2&lt;70),"轻度拥堵",AND(G2&gt;=30,G2&lt;50),"中度拥堵",AND(G2&gt;=0,G2&lt;30),"严重拥堵")))</f>
        <v>严重拥堵</v>
      </c>
    </row>
    <row r="3" spans="1:8" x14ac:dyDescent="0.2">
      <c r="A3">
        <v>2</v>
      </c>
      <c r="B3" t="str" cm="1">
        <f t="array" aca="1" ref="B3" ca="1">INDIRECT("s"&amp;RANDBETWEEN(22,23))</f>
        <v>次干路</v>
      </c>
      <c r="C3">
        <f t="shared" ref="C3:C8" ca="1" si="0">RANDBETWEEN(78,182)</f>
        <v>143</v>
      </c>
      <c r="D3">
        <f t="shared" ref="D3:D8" ca="1" si="1">RANDBETWEEN(5,30)/10</f>
        <v>0.5</v>
      </c>
      <c r="E3">
        <f t="shared" ref="E3:E8" ca="1" si="2">ROUND(C3*D3/G3,2)</f>
        <v>2.23</v>
      </c>
      <c r="F3" cm="1">
        <f t="array" aca="1" ref="F3" ca="1">INDIRECT("q"&amp;RANDBETWEEN(20,38))</f>
        <v>50</v>
      </c>
      <c r="G3">
        <f t="shared" ref="G3:G8" ca="1" si="3">RANDBETWEEN(1,F3)</f>
        <v>32</v>
      </c>
      <c r="H3" t="str" cm="1">
        <f t="array" aca="1" ref="H3" ca="1">IF(OR(B3="主干路",B3="次干路"),_xlfn.IFS(F3=40,_xlfn.IFS(G3&gt;=25,"畅通",AND(G3&gt;=20,G3&lt;25),"轻度拥堵",AND(G3&gt;=15,G3&lt;20),"中度拥堵",AND(G3&gt;=0,G3&lt;15),"严重拥堵"),F3&lt;40,_xlfn.IFS(G3&gt;=25,"畅通",AND(G3&gt;=20,G3&lt;25),"轻度拥堵",AND(G3&gt;=10,G3&lt;20),"中度拥堵",AND(G3&gt;=0,G3&lt;10),"严重拥堵"),F3=50,_xlfn.IFS(G3&gt;=30,"畅通",AND(G3&gt;=25,G3&lt;30),"轻度拥堵",AND(G3&gt;=15,G3&lt;25),"中度拥堵",AND(G3&gt;=0,G3&lt;15),"严重拥堵"),F3=60,_xlfn.IFS(G3&gt;=35,"畅通",AND(G3&gt;=30,G3&lt;35),"轻度拥堵",AND(G3&gt;=20,G3&lt;30),"中度拥堵",AND(G3&gt;=0,G3&lt;20),"严重拥堵"),F3=70,_xlfn.IFS(G3&gt;=40,"畅通",AND(G3&gt;=30,G3&lt;40),"轻度拥堵",AND(G3&gt;=20,G3&lt;30),"中度拥堵",AND(G3&gt;=0,G3&lt;20),"严重拥堵"),F3=80,_xlfn.IFS(G3&gt;=45,"畅通",AND(G3&gt;=30,G3&lt;45),"轻度拥堵",AND(G3&gt;=20,G3&lt;30),"中度拥堵",AND(G3&gt;=0,G3&lt;20),"严重拥堵")),_xlfn.IFS(F3&lt;60,_xlfn.IFS(G3&gt;=40,"畅通",AND(G3&gt;=30,G3&lt;40),"轻度拥堵",AND(G3&gt;=20,G3&lt;30),"中度拥堵",AND(G3&gt;=0,G3&lt;20),"严重拥堵"),F3=60,_xlfn.IFS(G3&gt;=40,"畅通",AND(G3&gt;=30,G3&lt;40),"轻度拥堵",AND(G3&gt;=20,G3&lt;30),"中度拥堵",AND(G3&gt;=0,G3&lt;20),"严重拥堵"),F3=70,_xlfn.IFS(G3&gt;=45,"畅通",AND(G3&gt;=20,G3&lt;25),"轻度拥堵",AND(G3&gt;=10,G3&lt;20),"中度拥堵",AND(G3&gt;=0,G3&lt;10),"严重拥堵"),F3=80,_xlfn.IFS(G3&gt;=50,"畅通",AND(G3&gt;=35,G3&lt;50),"轻度拥堵",AND(G3&gt;=20,G3&lt;35),"中度拥堵",AND(G3&gt;=0,G3&lt;20),"严重拥堵"),F3=90,_xlfn.IFS(G3&gt;=55,"畅通",AND(G3&gt;=35,G3&lt;55),"轻度拥堵",AND(G3&gt;=20,G3&lt;35),"中度拥堵",AND(G3&gt;=0,G3&lt;20),"严重拥堵"),F3=100,_xlfn.IFS(G3&gt;=60,"畅通",AND(G3&gt;=40,G3&lt;60),"轻度拥堵",AND(G3&gt;=20,G3&lt;40),"中度拥堵",AND(G3&gt;=0,G3&lt;20),"严重拥堵"),F3=110,_xlfn.IFS(G3&gt;=65,"畅通",AND(G3&gt;=45,G3&lt;65),"轻度拥堵",AND(G3&gt;=25,G3&lt;45),"中度拥堵",AND(G3&gt;=0,G3&lt;25),"严重拥堵"),F3=120,_xlfn.IFS(G3&gt;=70,"畅通",AND(G3&gt;=50,G3&lt;70),"轻度拥堵",AND(G3&gt;=30,G3&lt;50),"中度拥堵",AND(G3&gt;=0,G3&lt;30),"严重拥堵")))</f>
        <v>畅通</v>
      </c>
    </row>
    <row r="4" spans="1:8" x14ac:dyDescent="0.2">
      <c r="A4">
        <v>3</v>
      </c>
      <c r="B4" t="str" cm="1">
        <f t="array" aca="1" ref="B4" ca="1">INDIRECT("s"&amp;RANDBETWEEN(22,23))</f>
        <v>主干路</v>
      </c>
      <c r="C4">
        <f t="shared" ca="1" si="0"/>
        <v>86</v>
      </c>
      <c r="D4">
        <f t="shared" ca="1" si="1"/>
        <v>2.8</v>
      </c>
      <c r="E4">
        <f t="shared" ca="1" si="2"/>
        <v>60.2</v>
      </c>
      <c r="F4" cm="1">
        <f t="array" aca="1" ref="F4" ca="1">INDIRECT("q"&amp;RANDBETWEEN(20,38))</f>
        <v>60</v>
      </c>
      <c r="G4">
        <f t="shared" ca="1" si="3"/>
        <v>4</v>
      </c>
      <c r="H4" t="str" cm="1">
        <f t="array" aca="1" ref="H4" ca="1">IF(OR(B4="主干路",B4="次干路"),_xlfn.IFS(F4=40,_xlfn.IFS(G4&gt;=25,"畅通",AND(G4&gt;=20,G4&lt;25),"轻度拥堵",AND(G4&gt;=15,G4&lt;20),"中度拥堵",AND(G4&gt;=0,G4&lt;15),"严重拥堵"),F4&lt;40,_xlfn.IFS(G4&gt;=25,"畅通",AND(G4&gt;=20,G4&lt;25),"轻度拥堵",AND(G4&gt;=10,G4&lt;20),"中度拥堵",AND(G4&gt;=0,G4&lt;10),"严重拥堵"),F4=50,_xlfn.IFS(G4&gt;=30,"畅通",AND(G4&gt;=25,G4&lt;30),"轻度拥堵",AND(G4&gt;=15,G4&lt;25),"中度拥堵",AND(G4&gt;=0,G4&lt;15),"严重拥堵"),F4=60,_xlfn.IFS(G4&gt;=35,"畅通",AND(G4&gt;=30,G4&lt;35),"轻度拥堵",AND(G4&gt;=20,G4&lt;30),"中度拥堵",AND(G4&gt;=0,G4&lt;20),"严重拥堵"),F4=70,_xlfn.IFS(G4&gt;=40,"畅通",AND(G4&gt;=30,G4&lt;40),"轻度拥堵",AND(G4&gt;=20,G4&lt;30),"中度拥堵",AND(G4&gt;=0,G4&lt;20),"严重拥堵"),F4=80,_xlfn.IFS(G4&gt;=45,"畅通",AND(G4&gt;=30,G4&lt;45),"轻度拥堵",AND(G4&gt;=20,G4&lt;30),"中度拥堵",AND(G4&gt;=0,G4&lt;20),"严重拥堵")),_xlfn.IFS(F4&lt;60,_xlfn.IFS(G4&gt;=40,"畅通",AND(G4&gt;=30,G4&lt;40),"轻度拥堵",AND(G4&gt;=20,G4&lt;30),"中度拥堵",AND(G4&gt;=0,G4&lt;20),"严重拥堵"),F4=60,_xlfn.IFS(G4&gt;=40,"畅通",AND(G4&gt;=30,G4&lt;40),"轻度拥堵",AND(G4&gt;=20,G4&lt;30),"中度拥堵",AND(G4&gt;=0,G4&lt;20),"严重拥堵"),F4=70,_xlfn.IFS(G4&gt;=45,"畅通",AND(G4&gt;=20,G4&lt;25),"轻度拥堵",AND(G4&gt;=10,G4&lt;20),"中度拥堵",AND(G4&gt;=0,G4&lt;10),"严重拥堵"),F4=80,_xlfn.IFS(G4&gt;=50,"畅通",AND(G4&gt;=35,G4&lt;50),"轻度拥堵",AND(G4&gt;=20,G4&lt;35),"中度拥堵",AND(G4&gt;=0,G4&lt;20),"严重拥堵"),F4=90,_xlfn.IFS(G4&gt;=55,"畅通",AND(G4&gt;=35,G4&lt;55),"轻度拥堵",AND(G4&gt;=20,G4&lt;35),"中度拥堵",AND(G4&gt;=0,G4&lt;20),"严重拥堵"),F4=100,_xlfn.IFS(G4&gt;=60,"畅通",AND(G4&gt;=40,G4&lt;60),"轻度拥堵",AND(G4&gt;=20,G4&lt;40),"中度拥堵",AND(G4&gt;=0,G4&lt;20),"严重拥堵"),F4=110,_xlfn.IFS(G4&gt;=65,"畅通",AND(G4&gt;=45,G4&lt;65),"轻度拥堵",AND(G4&gt;=25,G4&lt;45),"中度拥堵",AND(G4&gt;=0,G4&lt;25),"严重拥堵"),F4=120,_xlfn.IFS(G4&gt;=70,"畅通",AND(G4&gt;=50,G4&lt;70),"轻度拥堵",AND(G4&gt;=30,G4&lt;50),"中度拥堵",AND(G4&gt;=0,G4&lt;30),"严重拥堵")))</f>
        <v>严重拥堵</v>
      </c>
    </row>
    <row r="5" spans="1:8" x14ac:dyDescent="0.2">
      <c r="A5">
        <v>4</v>
      </c>
      <c r="B5" t="str" cm="1">
        <f t="array" aca="1" ref="B5" ca="1">INDIRECT("s"&amp;RANDBETWEEN(22,23))</f>
        <v>主干路</v>
      </c>
      <c r="C5">
        <f t="shared" ca="1" si="0"/>
        <v>170</v>
      </c>
      <c r="D5">
        <f t="shared" ca="1" si="1"/>
        <v>1</v>
      </c>
      <c r="E5">
        <f t="shared" ca="1" si="2"/>
        <v>85</v>
      </c>
      <c r="F5" cm="1">
        <f t="array" aca="1" ref="F5" ca="1">INDIRECT("q"&amp;RANDBETWEEN(20,38))</f>
        <v>80</v>
      </c>
      <c r="G5">
        <f t="shared" ca="1" si="3"/>
        <v>2</v>
      </c>
      <c r="H5" t="str" cm="1">
        <f t="array" aca="1" ref="H5" ca="1">IF(OR(B5="主干路",B5="次干路"),_xlfn.IFS(F5=40,_xlfn.IFS(G5&gt;=25,"畅通",AND(G5&gt;=20,G5&lt;25),"轻度拥堵",AND(G5&gt;=15,G5&lt;20),"中度拥堵",AND(G5&gt;=0,G5&lt;15),"严重拥堵"),F5&lt;40,_xlfn.IFS(G5&gt;=25,"畅通",AND(G5&gt;=20,G5&lt;25),"轻度拥堵",AND(G5&gt;=10,G5&lt;20),"中度拥堵",AND(G5&gt;=0,G5&lt;10),"严重拥堵"),F5=50,_xlfn.IFS(G5&gt;=30,"畅通",AND(G5&gt;=25,G5&lt;30),"轻度拥堵",AND(G5&gt;=15,G5&lt;25),"中度拥堵",AND(G5&gt;=0,G5&lt;15),"严重拥堵"),F5=60,_xlfn.IFS(G5&gt;=35,"畅通",AND(G5&gt;=30,G5&lt;35),"轻度拥堵",AND(G5&gt;=20,G5&lt;30),"中度拥堵",AND(G5&gt;=0,G5&lt;20),"严重拥堵"),F5=70,_xlfn.IFS(G5&gt;=40,"畅通",AND(G5&gt;=30,G5&lt;40),"轻度拥堵",AND(G5&gt;=20,G5&lt;30),"中度拥堵",AND(G5&gt;=0,G5&lt;20),"严重拥堵"),F5=80,_xlfn.IFS(G5&gt;=45,"畅通",AND(G5&gt;=30,G5&lt;45),"轻度拥堵",AND(G5&gt;=20,G5&lt;30),"中度拥堵",AND(G5&gt;=0,G5&lt;20),"严重拥堵")),_xlfn.IFS(F5&lt;60,_xlfn.IFS(G5&gt;=40,"畅通",AND(G5&gt;=30,G5&lt;40),"轻度拥堵",AND(G5&gt;=20,G5&lt;30),"中度拥堵",AND(G5&gt;=0,G5&lt;20),"严重拥堵"),F5=60,_xlfn.IFS(G5&gt;=40,"畅通",AND(G5&gt;=30,G5&lt;40),"轻度拥堵",AND(G5&gt;=20,G5&lt;30),"中度拥堵",AND(G5&gt;=0,G5&lt;20),"严重拥堵"),F5=70,_xlfn.IFS(G5&gt;=45,"畅通",AND(G5&gt;=20,G5&lt;25),"轻度拥堵",AND(G5&gt;=10,G5&lt;20),"中度拥堵",AND(G5&gt;=0,G5&lt;10),"严重拥堵"),F5=80,_xlfn.IFS(G5&gt;=50,"畅通",AND(G5&gt;=35,G5&lt;50),"轻度拥堵",AND(G5&gt;=20,G5&lt;35),"中度拥堵",AND(G5&gt;=0,G5&lt;20),"严重拥堵"),F5=90,_xlfn.IFS(G5&gt;=55,"畅通",AND(G5&gt;=35,G5&lt;55),"轻度拥堵",AND(G5&gt;=20,G5&lt;35),"中度拥堵",AND(G5&gt;=0,G5&lt;20),"严重拥堵"),F5=100,_xlfn.IFS(G5&gt;=60,"畅通",AND(G5&gt;=40,G5&lt;60),"轻度拥堵",AND(G5&gt;=20,G5&lt;40),"中度拥堵",AND(G5&gt;=0,G5&lt;20),"严重拥堵"),F5=110,_xlfn.IFS(G5&gt;=65,"畅通",AND(G5&gt;=45,G5&lt;65),"轻度拥堵",AND(G5&gt;=25,G5&lt;45),"中度拥堵",AND(G5&gt;=0,G5&lt;25),"严重拥堵"),F5=120,_xlfn.IFS(G5&gt;=70,"畅通",AND(G5&gt;=50,G5&lt;70),"轻度拥堵",AND(G5&gt;=30,G5&lt;50),"中度拥堵",AND(G5&gt;=0,G5&lt;30),"严重拥堵")))</f>
        <v>严重拥堵</v>
      </c>
    </row>
    <row r="6" spans="1:8" x14ac:dyDescent="0.2">
      <c r="A6">
        <v>5</v>
      </c>
      <c r="B6" t="str" cm="1">
        <f t="array" aca="1" ref="B6" ca="1">INDIRECT("s"&amp;RANDBETWEEN(22,23))</f>
        <v>主干路</v>
      </c>
      <c r="C6">
        <f t="shared" ca="1" si="0"/>
        <v>135</v>
      </c>
      <c r="D6">
        <f t="shared" ca="1" si="1"/>
        <v>2</v>
      </c>
      <c r="E6">
        <f t="shared" ca="1" si="2"/>
        <v>8.7100000000000009</v>
      </c>
      <c r="F6" cm="1">
        <f t="array" aca="1" ref="F6" ca="1">INDIRECT("q"&amp;RANDBETWEEN(20,38))</f>
        <v>60</v>
      </c>
      <c r="G6">
        <f t="shared" ca="1" si="3"/>
        <v>31</v>
      </c>
      <c r="H6" t="str" cm="1">
        <f t="array" aca="1" ref="H6" ca="1">IF(OR(B6="主干路",B6="次干路"),_xlfn.IFS(F6=40,_xlfn.IFS(G6&gt;=25,"畅通",AND(G6&gt;=20,G6&lt;25),"轻度拥堵",AND(G6&gt;=15,G6&lt;20),"中度拥堵",AND(G6&gt;=0,G6&lt;15),"严重拥堵"),F6&lt;40,_xlfn.IFS(G6&gt;=25,"畅通",AND(G6&gt;=20,G6&lt;25),"轻度拥堵",AND(G6&gt;=10,G6&lt;20),"中度拥堵",AND(G6&gt;=0,G6&lt;10),"严重拥堵"),F6=50,_xlfn.IFS(G6&gt;=30,"畅通",AND(G6&gt;=25,G6&lt;30),"轻度拥堵",AND(G6&gt;=15,G6&lt;25),"中度拥堵",AND(G6&gt;=0,G6&lt;15),"严重拥堵"),F6=60,_xlfn.IFS(G6&gt;=35,"畅通",AND(G6&gt;=30,G6&lt;35),"轻度拥堵",AND(G6&gt;=20,G6&lt;30),"中度拥堵",AND(G6&gt;=0,G6&lt;20),"严重拥堵"),F6=70,_xlfn.IFS(G6&gt;=40,"畅通",AND(G6&gt;=30,G6&lt;40),"轻度拥堵",AND(G6&gt;=20,G6&lt;30),"中度拥堵",AND(G6&gt;=0,G6&lt;20),"严重拥堵"),F6=80,_xlfn.IFS(G6&gt;=45,"畅通",AND(G6&gt;=30,G6&lt;45),"轻度拥堵",AND(G6&gt;=20,G6&lt;30),"中度拥堵",AND(G6&gt;=0,G6&lt;20),"严重拥堵")),_xlfn.IFS(F6&lt;60,_xlfn.IFS(G6&gt;=40,"畅通",AND(G6&gt;=30,G6&lt;40),"轻度拥堵",AND(G6&gt;=20,G6&lt;30),"中度拥堵",AND(G6&gt;=0,G6&lt;20),"严重拥堵"),F6=60,_xlfn.IFS(G6&gt;=40,"畅通",AND(G6&gt;=30,G6&lt;40),"轻度拥堵",AND(G6&gt;=20,G6&lt;30),"中度拥堵",AND(G6&gt;=0,G6&lt;20),"严重拥堵"),F6=70,_xlfn.IFS(G6&gt;=45,"畅通",AND(G6&gt;=20,G6&lt;25),"轻度拥堵",AND(G6&gt;=10,G6&lt;20),"中度拥堵",AND(G6&gt;=0,G6&lt;10),"严重拥堵"),F6=80,_xlfn.IFS(G6&gt;=50,"畅通",AND(G6&gt;=35,G6&lt;50),"轻度拥堵",AND(G6&gt;=20,G6&lt;35),"中度拥堵",AND(G6&gt;=0,G6&lt;20),"严重拥堵"),F6=90,_xlfn.IFS(G6&gt;=55,"畅通",AND(G6&gt;=35,G6&lt;55),"轻度拥堵",AND(G6&gt;=20,G6&lt;35),"中度拥堵",AND(G6&gt;=0,G6&lt;20),"严重拥堵"),F6=100,_xlfn.IFS(G6&gt;=60,"畅通",AND(G6&gt;=40,G6&lt;60),"轻度拥堵",AND(G6&gt;=20,G6&lt;40),"中度拥堵",AND(G6&gt;=0,G6&lt;20),"严重拥堵"),F6=110,_xlfn.IFS(G6&gt;=65,"畅通",AND(G6&gt;=45,G6&lt;65),"轻度拥堵",AND(G6&gt;=25,G6&lt;45),"中度拥堵",AND(G6&gt;=0,G6&lt;25),"严重拥堵"),F6=120,_xlfn.IFS(G6&gt;=70,"畅通",AND(G6&gt;=50,G6&lt;70),"轻度拥堵",AND(G6&gt;=30,G6&lt;50),"中度拥堵",AND(G6&gt;=0,G6&lt;30),"严重拥堵")))</f>
        <v>轻度拥堵</v>
      </c>
    </row>
    <row r="7" spans="1:8" x14ac:dyDescent="0.2">
      <c r="A7">
        <v>6</v>
      </c>
      <c r="B7" t="str" cm="1">
        <f t="array" aca="1" ref="B7" ca="1">INDIRECT("s"&amp;RANDBETWEEN(22,23))</f>
        <v>主干路</v>
      </c>
      <c r="C7">
        <f t="shared" ca="1" si="0"/>
        <v>174</v>
      </c>
      <c r="D7">
        <f t="shared" ca="1" si="1"/>
        <v>1.2</v>
      </c>
      <c r="E7">
        <f t="shared" ca="1" si="2"/>
        <v>6.96</v>
      </c>
      <c r="F7" cm="1">
        <f t="array" aca="1" ref="F7" ca="1">INDIRECT("q"&amp;RANDBETWEEN(20,38))</f>
        <v>40</v>
      </c>
      <c r="G7">
        <f t="shared" ca="1" si="3"/>
        <v>30</v>
      </c>
      <c r="H7" t="str" cm="1">
        <f t="array" aca="1" ref="H7" ca="1">IF(OR(B7="主干路",B7="次干路"),_xlfn.IFS(F7=40,_xlfn.IFS(G7&gt;=25,"畅通",AND(G7&gt;=20,G7&lt;25),"轻度拥堵",AND(G7&gt;=15,G7&lt;20),"中度拥堵",AND(G7&gt;=0,G7&lt;15),"严重拥堵"),F7&lt;40,_xlfn.IFS(G7&gt;=25,"畅通",AND(G7&gt;=20,G7&lt;25),"轻度拥堵",AND(G7&gt;=10,G7&lt;20),"中度拥堵",AND(G7&gt;=0,G7&lt;10),"严重拥堵"),F7=50,_xlfn.IFS(G7&gt;=30,"畅通",AND(G7&gt;=25,G7&lt;30),"轻度拥堵",AND(G7&gt;=15,G7&lt;25),"中度拥堵",AND(G7&gt;=0,G7&lt;15),"严重拥堵"),F7=60,_xlfn.IFS(G7&gt;=35,"畅通",AND(G7&gt;=30,G7&lt;35),"轻度拥堵",AND(G7&gt;=20,G7&lt;30),"中度拥堵",AND(G7&gt;=0,G7&lt;20),"严重拥堵"),F7=70,_xlfn.IFS(G7&gt;=40,"畅通",AND(G7&gt;=30,G7&lt;40),"轻度拥堵",AND(G7&gt;=20,G7&lt;30),"中度拥堵",AND(G7&gt;=0,G7&lt;20),"严重拥堵"),F7=80,_xlfn.IFS(G7&gt;=45,"畅通",AND(G7&gt;=30,G7&lt;45),"轻度拥堵",AND(G7&gt;=20,G7&lt;30),"中度拥堵",AND(G7&gt;=0,G7&lt;20),"严重拥堵")),_xlfn.IFS(F7&lt;60,_xlfn.IFS(G7&gt;=40,"畅通",AND(G7&gt;=30,G7&lt;40),"轻度拥堵",AND(G7&gt;=20,G7&lt;30),"中度拥堵",AND(G7&gt;=0,G7&lt;20),"严重拥堵"),F7=60,_xlfn.IFS(G7&gt;=40,"畅通",AND(G7&gt;=30,G7&lt;40),"轻度拥堵",AND(G7&gt;=20,G7&lt;30),"中度拥堵",AND(G7&gt;=0,G7&lt;20),"严重拥堵"),F7=70,_xlfn.IFS(G7&gt;=45,"畅通",AND(G7&gt;=20,G7&lt;25),"轻度拥堵",AND(G7&gt;=10,G7&lt;20),"中度拥堵",AND(G7&gt;=0,G7&lt;10),"严重拥堵"),F7=80,_xlfn.IFS(G7&gt;=50,"畅通",AND(G7&gt;=35,G7&lt;50),"轻度拥堵",AND(G7&gt;=20,G7&lt;35),"中度拥堵",AND(G7&gt;=0,G7&lt;20),"严重拥堵"),F7=90,_xlfn.IFS(G7&gt;=55,"畅通",AND(G7&gt;=35,G7&lt;55),"轻度拥堵",AND(G7&gt;=20,G7&lt;35),"中度拥堵",AND(G7&gt;=0,G7&lt;20),"严重拥堵"),F7=100,_xlfn.IFS(G7&gt;=60,"畅通",AND(G7&gt;=40,G7&lt;60),"轻度拥堵",AND(G7&gt;=20,G7&lt;40),"中度拥堵",AND(G7&gt;=0,G7&lt;20),"严重拥堵"),F7=110,_xlfn.IFS(G7&gt;=65,"畅通",AND(G7&gt;=45,G7&lt;65),"轻度拥堵",AND(G7&gt;=25,G7&lt;45),"中度拥堵",AND(G7&gt;=0,G7&lt;25),"严重拥堵"),F7=120,_xlfn.IFS(G7&gt;=70,"畅通",AND(G7&gt;=50,G7&lt;70),"轻度拥堵",AND(G7&gt;=30,G7&lt;50),"中度拥堵",AND(G7&gt;=0,G7&lt;30),"严重拥堵")))</f>
        <v>畅通</v>
      </c>
    </row>
    <row r="8" spans="1:8" x14ac:dyDescent="0.2">
      <c r="A8">
        <v>7</v>
      </c>
      <c r="B8" t="str" cm="1">
        <f t="array" aca="1" ref="B8" ca="1">INDIRECT("s"&amp;RANDBETWEEN(22,23))</f>
        <v>主干路</v>
      </c>
      <c r="C8">
        <f t="shared" ca="1" si="0"/>
        <v>156</v>
      </c>
      <c r="D8">
        <f t="shared" ca="1" si="1"/>
        <v>1.2</v>
      </c>
      <c r="E8">
        <f t="shared" ca="1" si="2"/>
        <v>14.4</v>
      </c>
      <c r="F8" cm="1">
        <f t="array" aca="1" ref="F8" ca="1">INDIRECT("q"&amp;RANDBETWEEN(20,38))</f>
        <v>60</v>
      </c>
      <c r="G8">
        <f t="shared" ca="1" si="3"/>
        <v>13</v>
      </c>
      <c r="H8" t="str" cm="1">
        <f t="array" aca="1" ref="H8" ca="1">IF(OR(B8="主干路",B8="次干路"),_xlfn.IFS(F8=40,_xlfn.IFS(G8&gt;=25,"畅通",AND(G8&gt;=20,G8&lt;25),"轻度拥堵",AND(G8&gt;=15,G8&lt;20),"中度拥堵",AND(G8&gt;=0,G8&lt;15),"严重拥堵"),F8&lt;40,_xlfn.IFS(G8&gt;=25,"畅通",AND(G8&gt;=20,G8&lt;25),"轻度拥堵",AND(G8&gt;=10,G8&lt;20),"中度拥堵",AND(G8&gt;=0,G8&lt;10),"严重拥堵"),F8=50,_xlfn.IFS(G8&gt;=30,"畅通",AND(G8&gt;=25,G8&lt;30),"轻度拥堵",AND(G8&gt;=15,G8&lt;25),"中度拥堵",AND(G8&gt;=0,G8&lt;15),"严重拥堵"),F8=60,_xlfn.IFS(G8&gt;=35,"畅通",AND(G8&gt;=30,G8&lt;35),"轻度拥堵",AND(G8&gt;=20,G8&lt;30),"中度拥堵",AND(G8&gt;=0,G8&lt;20),"严重拥堵"),F8=70,_xlfn.IFS(G8&gt;=40,"畅通",AND(G8&gt;=30,G8&lt;40),"轻度拥堵",AND(G8&gt;=20,G8&lt;30),"中度拥堵",AND(G8&gt;=0,G8&lt;20),"严重拥堵"),F8=80,_xlfn.IFS(G8&gt;=45,"畅通",AND(G8&gt;=30,G8&lt;45),"轻度拥堵",AND(G8&gt;=20,G8&lt;30),"中度拥堵",AND(G8&gt;=0,G8&lt;20),"严重拥堵")),_xlfn.IFS(F8&lt;60,_xlfn.IFS(G8&gt;=40,"畅通",AND(G8&gt;=30,G8&lt;40),"轻度拥堵",AND(G8&gt;=20,G8&lt;30),"中度拥堵",AND(G8&gt;=0,G8&lt;20),"严重拥堵"),F8=60,_xlfn.IFS(G8&gt;=40,"畅通",AND(G8&gt;=30,G8&lt;40),"轻度拥堵",AND(G8&gt;=20,G8&lt;30),"中度拥堵",AND(G8&gt;=0,G8&lt;20),"严重拥堵"),F8=70,_xlfn.IFS(G8&gt;=45,"畅通",AND(G8&gt;=20,G8&lt;25),"轻度拥堵",AND(G8&gt;=10,G8&lt;20),"中度拥堵",AND(G8&gt;=0,G8&lt;10),"严重拥堵"),F8=80,_xlfn.IFS(G8&gt;=50,"畅通",AND(G8&gt;=35,G8&lt;50),"轻度拥堵",AND(G8&gt;=20,G8&lt;35),"中度拥堵",AND(G8&gt;=0,G8&lt;20),"严重拥堵"),F8=90,_xlfn.IFS(G8&gt;=55,"畅通",AND(G8&gt;=35,G8&lt;55),"轻度拥堵",AND(G8&gt;=20,G8&lt;35),"中度拥堵",AND(G8&gt;=0,G8&lt;20),"严重拥堵"),F8=100,_xlfn.IFS(G8&gt;=60,"畅通",AND(G8&gt;=40,G8&lt;60),"轻度拥堵",AND(G8&gt;=20,G8&lt;40),"中度拥堵",AND(G8&gt;=0,G8&lt;20),"严重拥堵"),F8=110,_xlfn.IFS(G8&gt;=65,"畅通",AND(G8&gt;=45,G8&lt;65),"轻度拥堵",AND(G8&gt;=25,G8&lt;45),"中度拥堵",AND(G8&gt;=0,G8&lt;25),"严重拥堵"),F8=120,_xlfn.IFS(G8&gt;=70,"畅通",AND(G8&gt;=50,G8&lt;70),"轻度拥堵",AND(G8&gt;=30,G8&lt;50),"中度拥堵",AND(G8&gt;=0,G8&lt;30),"严重拥堵")))</f>
        <v>严重拥堵</v>
      </c>
    </row>
    <row r="9" spans="1:8" x14ac:dyDescent="0.2">
      <c r="A9">
        <v>8</v>
      </c>
      <c r="B9" t="str" cm="1">
        <f t="array" aca="1" ref="B9" ca="1">INDIRECT("s"&amp;RANDBETWEEN(22,23))</f>
        <v>主干路</v>
      </c>
      <c r="C9">
        <f t="shared" ref="C9:C20" ca="1" si="4">RANDBETWEEN(78,182)</f>
        <v>172</v>
      </c>
      <c r="D9">
        <f t="shared" ref="D9:D20" ca="1" si="5">RANDBETWEEN(5,30)/10</f>
        <v>1.3</v>
      </c>
      <c r="E9">
        <f t="shared" ref="E9:E40" ca="1" si="6">ROUND(C9*D9/G9,2)</f>
        <v>8.94</v>
      </c>
      <c r="F9" cm="1">
        <f t="array" aca="1" ref="F9" ca="1">INDIRECT("q"&amp;RANDBETWEEN(20,38))</f>
        <v>60</v>
      </c>
      <c r="G9">
        <f t="shared" ref="G9:G40" ca="1" si="7">RANDBETWEEN(1,F9)</f>
        <v>25</v>
      </c>
      <c r="H9" t="str" cm="1">
        <f t="array" aca="1" ref="H9" ca="1">IF(OR(B9="主干路",B9="次干路"),_xlfn.IFS(F9=40,_xlfn.IFS(G9&gt;=25,"畅通",AND(G9&gt;=20,G9&lt;25),"轻度拥堵",AND(G9&gt;=15,G9&lt;20),"中度拥堵",AND(G9&gt;=0,G9&lt;15),"严重拥堵"),F9&lt;40,_xlfn.IFS(G9&gt;=25,"畅通",AND(G9&gt;=20,G9&lt;25),"轻度拥堵",AND(G9&gt;=10,G9&lt;20),"中度拥堵",AND(G9&gt;=0,G9&lt;10),"严重拥堵"),F9=50,_xlfn.IFS(G9&gt;=30,"畅通",AND(G9&gt;=25,G9&lt;30),"轻度拥堵",AND(G9&gt;=15,G9&lt;25),"中度拥堵",AND(G9&gt;=0,G9&lt;15),"严重拥堵"),F9=60,_xlfn.IFS(G9&gt;=35,"畅通",AND(G9&gt;=30,G9&lt;35),"轻度拥堵",AND(G9&gt;=20,G9&lt;30),"中度拥堵",AND(G9&gt;=0,G9&lt;20),"严重拥堵"),F9=70,_xlfn.IFS(G9&gt;=40,"畅通",AND(G9&gt;=30,G9&lt;40),"轻度拥堵",AND(G9&gt;=20,G9&lt;30),"中度拥堵",AND(G9&gt;=0,G9&lt;20),"严重拥堵"),F9=80,_xlfn.IFS(G9&gt;=45,"畅通",AND(G9&gt;=30,G9&lt;45),"轻度拥堵",AND(G9&gt;=20,G9&lt;30),"中度拥堵",AND(G9&gt;=0,G9&lt;20),"严重拥堵")),_xlfn.IFS(F9&lt;60,_xlfn.IFS(G9&gt;=40,"畅通",AND(G9&gt;=30,G9&lt;40),"轻度拥堵",AND(G9&gt;=20,G9&lt;30),"中度拥堵",AND(G9&gt;=0,G9&lt;20),"严重拥堵"),F9=60,_xlfn.IFS(G9&gt;=40,"畅通",AND(G9&gt;=30,G9&lt;40),"轻度拥堵",AND(G9&gt;=20,G9&lt;30),"中度拥堵",AND(G9&gt;=0,G9&lt;20),"严重拥堵"),F9=70,_xlfn.IFS(G9&gt;=45,"畅通",AND(G9&gt;=20,G9&lt;25),"轻度拥堵",AND(G9&gt;=10,G9&lt;20),"中度拥堵",AND(G9&gt;=0,G9&lt;10),"严重拥堵"),F9=80,_xlfn.IFS(G9&gt;=50,"畅通",AND(G9&gt;=35,G9&lt;50),"轻度拥堵",AND(G9&gt;=20,G9&lt;35),"中度拥堵",AND(G9&gt;=0,G9&lt;20),"严重拥堵"),F9=90,_xlfn.IFS(G9&gt;=55,"畅通",AND(G9&gt;=35,G9&lt;55),"轻度拥堵",AND(G9&gt;=20,G9&lt;35),"中度拥堵",AND(G9&gt;=0,G9&lt;20),"严重拥堵"),F9=100,_xlfn.IFS(G9&gt;=60,"畅通",AND(G9&gt;=40,G9&lt;60),"轻度拥堵",AND(G9&gt;=20,G9&lt;40),"中度拥堵",AND(G9&gt;=0,G9&lt;20),"严重拥堵"),F9=110,_xlfn.IFS(G9&gt;=65,"畅通",AND(G9&gt;=45,G9&lt;65),"轻度拥堵",AND(G9&gt;=25,G9&lt;45),"中度拥堵",AND(G9&gt;=0,G9&lt;25),"严重拥堵"),F9=120,_xlfn.IFS(G9&gt;=70,"畅通",AND(G9&gt;=50,G9&lt;70),"轻度拥堵",AND(G9&gt;=30,G9&lt;50),"中度拥堵",AND(G9&gt;=0,G9&lt;30),"严重拥堵")))</f>
        <v>中度拥堵</v>
      </c>
    </row>
    <row r="10" spans="1:8" x14ac:dyDescent="0.2">
      <c r="A10">
        <v>9</v>
      </c>
      <c r="B10" t="str" cm="1">
        <f t="array" aca="1" ref="B10" ca="1">INDIRECT("s"&amp;RANDBETWEEN(22,23))</f>
        <v>次干路</v>
      </c>
      <c r="C10">
        <f t="shared" ca="1" si="4"/>
        <v>143</v>
      </c>
      <c r="D10">
        <f t="shared" ca="1" si="5"/>
        <v>1.4</v>
      </c>
      <c r="E10">
        <f t="shared" ca="1" si="6"/>
        <v>7.15</v>
      </c>
      <c r="F10" cm="1">
        <f t="array" aca="1" ref="F10" ca="1">INDIRECT("q"&amp;RANDBETWEEN(20,38))</f>
        <v>60</v>
      </c>
      <c r="G10">
        <f t="shared" ca="1" si="7"/>
        <v>28</v>
      </c>
      <c r="H10" t="str" cm="1">
        <f t="array" aca="1" ref="H10" ca="1">IF(OR(B10="主干路",B10="次干路"),_xlfn.IFS(F10=40,_xlfn.IFS(G10&gt;=25,"畅通",AND(G10&gt;=20,G10&lt;25),"轻度拥堵",AND(G10&gt;=15,G10&lt;20),"中度拥堵",AND(G10&gt;=0,G10&lt;15),"严重拥堵"),F10&lt;40,_xlfn.IFS(G10&gt;=25,"畅通",AND(G10&gt;=20,G10&lt;25),"轻度拥堵",AND(G10&gt;=10,G10&lt;20),"中度拥堵",AND(G10&gt;=0,G10&lt;10),"严重拥堵"),F10=50,_xlfn.IFS(G10&gt;=30,"畅通",AND(G10&gt;=25,G10&lt;30),"轻度拥堵",AND(G10&gt;=15,G10&lt;25),"中度拥堵",AND(G10&gt;=0,G10&lt;15),"严重拥堵"),F10=60,_xlfn.IFS(G10&gt;=35,"畅通",AND(G10&gt;=30,G10&lt;35),"轻度拥堵",AND(G10&gt;=20,G10&lt;30),"中度拥堵",AND(G10&gt;=0,G10&lt;20),"严重拥堵"),F10=70,_xlfn.IFS(G10&gt;=40,"畅通",AND(G10&gt;=30,G10&lt;40),"轻度拥堵",AND(G10&gt;=20,G10&lt;30),"中度拥堵",AND(G10&gt;=0,G10&lt;20),"严重拥堵"),F10=80,_xlfn.IFS(G10&gt;=45,"畅通",AND(G10&gt;=30,G10&lt;45),"轻度拥堵",AND(G10&gt;=20,G10&lt;30),"中度拥堵",AND(G10&gt;=0,G10&lt;20),"严重拥堵")),_xlfn.IFS(F10&lt;60,_xlfn.IFS(G10&gt;=40,"畅通",AND(G10&gt;=30,G10&lt;40),"轻度拥堵",AND(G10&gt;=20,G10&lt;30),"中度拥堵",AND(G10&gt;=0,G10&lt;20),"严重拥堵"),F10=60,_xlfn.IFS(G10&gt;=40,"畅通",AND(G10&gt;=30,G10&lt;40),"轻度拥堵",AND(G10&gt;=20,G10&lt;30),"中度拥堵",AND(G10&gt;=0,G10&lt;20),"严重拥堵"),F10=70,_xlfn.IFS(G10&gt;=45,"畅通",AND(G10&gt;=20,G10&lt;25),"轻度拥堵",AND(G10&gt;=10,G10&lt;20),"中度拥堵",AND(G10&gt;=0,G10&lt;10),"严重拥堵"),F10=80,_xlfn.IFS(G10&gt;=50,"畅通",AND(G10&gt;=35,G10&lt;50),"轻度拥堵",AND(G10&gt;=20,G10&lt;35),"中度拥堵",AND(G10&gt;=0,G10&lt;20),"严重拥堵"),F10=90,_xlfn.IFS(G10&gt;=55,"畅通",AND(G10&gt;=35,G10&lt;55),"轻度拥堵",AND(G10&gt;=20,G10&lt;35),"中度拥堵",AND(G10&gt;=0,G10&lt;20),"严重拥堵"),F10=100,_xlfn.IFS(G10&gt;=60,"畅通",AND(G10&gt;=40,G10&lt;60),"轻度拥堵",AND(G10&gt;=20,G10&lt;40),"中度拥堵",AND(G10&gt;=0,G10&lt;20),"严重拥堵"),F10=110,_xlfn.IFS(G10&gt;=65,"畅通",AND(G10&gt;=45,G10&lt;65),"轻度拥堵",AND(G10&gt;=25,G10&lt;45),"中度拥堵",AND(G10&gt;=0,G10&lt;25),"严重拥堵"),F10=120,_xlfn.IFS(G10&gt;=70,"畅通",AND(G10&gt;=50,G10&lt;70),"轻度拥堵",AND(G10&gt;=30,G10&lt;50),"中度拥堵",AND(G10&gt;=0,G10&lt;30),"严重拥堵")))</f>
        <v>中度拥堵</v>
      </c>
    </row>
    <row r="11" spans="1:8" x14ac:dyDescent="0.2">
      <c r="A11">
        <v>10</v>
      </c>
      <c r="B11" t="str" cm="1">
        <f t="array" aca="1" ref="B11" ca="1">INDIRECT("s"&amp;RANDBETWEEN(22,23))</f>
        <v>次干路</v>
      </c>
      <c r="C11">
        <f t="shared" ca="1" si="4"/>
        <v>86</v>
      </c>
      <c r="D11">
        <f t="shared" ca="1" si="5"/>
        <v>2.6</v>
      </c>
      <c r="E11">
        <f t="shared" ca="1" si="6"/>
        <v>5.73</v>
      </c>
      <c r="F11" cm="1">
        <f t="array" aca="1" ref="F11" ca="1">INDIRECT("q"&amp;RANDBETWEEN(20,38))</f>
        <v>60</v>
      </c>
      <c r="G11">
        <f t="shared" ca="1" si="7"/>
        <v>39</v>
      </c>
      <c r="H11" t="str" cm="1">
        <f t="array" aca="1" ref="H11" ca="1">IF(OR(B11="主干路",B11="次干路"),_xlfn.IFS(F11=40,_xlfn.IFS(G11&gt;=25,"畅通",AND(G11&gt;=20,G11&lt;25),"轻度拥堵",AND(G11&gt;=15,G11&lt;20),"中度拥堵",AND(G11&gt;=0,G11&lt;15),"严重拥堵"),F11&lt;40,_xlfn.IFS(G11&gt;=25,"畅通",AND(G11&gt;=20,G11&lt;25),"轻度拥堵",AND(G11&gt;=10,G11&lt;20),"中度拥堵",AND(G11&gt;=0,G11&lt;10),"严重拥堵"),F11=50,_xlfn.IFS(G11&gt;=30,"畅通",AND(G11&gt;=25,G11&lt;30),"轻度拥堵",AND(G11&gt;=15,G11&lt;25),"中度拥堵",AND(G11&gt;=0,G11&lt;15),"严重拥堵"),F11=60,_xlfn.IFS(G11&gt;=35,"畅通",AND(G11&gt;=30,G11&lt;35),"轻度拥堵",AND(G11&gt;=20,G11&lt;30),"中度拥堵",AND(G11&gt;=0,G11&lt;20),"严重拥堵"),F11=70,_xlfn.IFS(G11&gt;=40,"畅通",AND(G11&gt;=30,G11&lt;40),"轻度拥堵",AND(G11&gt;=20,G11&lt;30),"中度拥堵",AND(G11&gt;=0,G11&lt;20),"严重拥堵"),F11=80,_xlfn.IFS(G11&gt;=45,"畅通",AND(G11&gt;=30,G11&lt;45),"轻度拥堵",AND(G11&gt;=20,G11&lt;30),"中度拥堵",AND(G11&gt;=0,G11&lt;20),"严重拥堵")),_xlfn.IFS(F11&lt;60,_xlfn.IFS(G11&gt;=40,"畅通",AND(G11&gt;=30,G11&lt;40),"轻度拥堵",AND(G11&gt;=20,G11&lt;30),"中度拥堵",AND(G11&gt;=0,G11&lt;20),"严重拥堵"),F11=60,_xlfn.IFS(G11&gt;=40,"畅通",AND(G11&gt;=30,G11&lt;40),"轻度拥堵",AND(G11&gt;=20,G11&lt;30),"中度拥堵",AND(G11&gt;=0,G11&lt;20),"严重拥堵"),F11=70,_xlfn.IFS(G11&gt;=45,"畅通",AND(G11&gt;=20,G11&lt;25),"轻度拥堵",AND(G11&gt;=10,G11&lt;20),"中度拥堵",AND(G11&gt;=0,G11&lt;10),"严重拥堵"),F11=80,_xlfn.IFS(G11&gt;=50,"畅通",AND(G11&gt;=35,G11&lt;50),"轻度拥堵",AND(G11&gt;=20,G11&lt;35),"中度拥堵",AND(G11&gt;=0,G11&lt;20),"严重拥堵"),F11=90,_xlfn.IFS(G11&gt;=55,"畅通",AND(G11&gt;=35,G11&lt;55),"轻度拥堵",AND(G11&gt;=20,G11&lt;35),"中度拥堵",AND(G11&gt;=0,G11&lt;20),"严重拥堵"),F11=100,_xlfn.IFS(G11&gt;=60,"畅通",AND(G11&gt;=40,G11&lt;60),"轻度拥堵",AND(G11&gt;=20,G11&lt;40),"中度拥堵",AND(G11&gt;=0,G11&lt;20),"严重拥堵"),F11=110,_xlfn.IFS(G11&gt;=65,"畅通",AND(G11&gt;=45,G11&lt;65),"轻度拥堵",AND(G11&gt;=25,G11&lt;45),"中度拥堵",AND(G11&gt;=0,G11&lt;25),"严重拥堵"),F11=120,_xlfn.IFS(G11&gt;=70,"畅通",AND(G11&gt;=50,G11&lt;70),"轻度拥堵",AND(G11&gt;=30,G11&lt;50),"中度拥堵",AND(G11&gt;=0,G11&lt;30),"严重拥堵")))</f>
        <v>畅通</v>
      </c>
    </row>
    <row r="12" spans="1:8" x14ac:dyDescent="0.2">
      <c r="A12">
        <v>11</v>
      </c>
      <c r="B12" t="str" cm="1">
        <f t="array" aca="1" ref="B12" ca="1">INDIRECT("s"&amp;RANDBETWEEN(22,23))</f>
        <v>次干路</v>
      </c>
      <c r="C12">
        <f t="shared" ca="1" si="4"/>
        <v>171</v>
      </c>
      <c r="D12">
        <f t="shared" ca="1" si="5"/>
        <v>2.1</v>
      </c>
      <c r="E12">
        <f t="shared" ca="1" si="6"/>
        <v>9.4499999999999993</v>
      </c>
      <c r="F12" cm="1">
        <f t="array" aca="1" ref="F12" ca="1">INDIRECT("q"&amp;RANDBETWEEN(20,38))</f>
        <v>40</v>
      </c>
      <c r="G12">
        <f t="shared" ca="1" si="7"/>
        <v>38</v>
      </c>
      <c r="H12" t="str" cm="1">
        <f t="array" aca="1" ref="H12" ca="1">IF(OR(B12="主干路",B12="次干路"),_xlfn.IFS(F12=40,_xlfn.IFS(G12&gt;=25,"畅通",AND(G12&gt;=20,G12&lt;25),"轻度拥堵",AND(G12&gt;=15,G12&lt;20),"中度拥堵",AND(G12&gt;=0,G12&lt;15),"严重拥堵"),F12&lt;40,_xlfn.IFS(G12&gt;=25,"畅通",AND(G12&gt;=20,G12&lt;25),"轻度拥堵",AND(G12&gt;=10,G12&lt;20),"中度拥堵",AND(G12&gt;=0,G12&lt;10),"严重拥堵"),F12=50,_xlfn.IFS(G12&gt;=30,"畅通",AND(G12&gt;=25,G12&lt;30),"轻度拥堵",AND(G12&gt;=15,G12&lt;25),"中度拥堵",AND(G12&gt;=0,G12&lt;15),"严重拥堵"),F12=60,_xlfn.IFS(G12&gt;=35,"畅通",AND(G12&gt;=30,G12&lt;35),"轻度拥堵",AND(G12&gt;=20,G12&lt;30),"中度拥堵",AND(G12&gt;=0,G12&lt;20),"严重拥堵"),F12=70,_xlfn.IFS(G12&gt;=40,"畅通",AND(G12&gt;=30,G12&lt;40),"轻度拥堵",AND(G12&gt;=20,G12&lt;30),"中度拥堵",AND(G12&gt;=0,G12&lt;20),"严重拥堵"),F12=80,_xlfn.IFS(G12&gt;=45,"畅通",AND(G12&gt;=30,G12&lt;45),"轻度拥堵",AND(G12&gt;=20,G12&lt;30),"中度拥堵",AND(G12&gt;=0,G12&lt;20),"严重拥堵")),_xlfn.IFS(F12&lt;60,_xlfn.IFS(G12&gt;=40,"畅通",AND(G12&gt;=30,G12&lt;40),"轻度拥堵",AND(G12&gt;=20,G12&lt;30),"中度拥堵",AND(G12&gt;=0,G12&lt;20),"严重拥堵"),F12=60,_xlfn.IFS(G12&gt;=40,"畅通",AND(G12&gt;=30,G12&lt;40),"轻度拥堵",AND(G12&gt;=20,G12&lt;30),"中度拥堵",AND(G12&gt;=0,G12&lt;20),"严重拥堵"),F12=70,_xlfn.IFS(G12&gt;=45,"畅通",AND(G12&gt;=20,G12&lt;25),"轻度拥堵",AND(G12&gt;=10,G12&lt;20),"中度拥堵",AND(G12&gt;=0,G12&lt;10),"严重拥堵"),F12=80,_xlfn.IFS(G12&gt;=50,"畅通",AND(G12&gt;=35,G12&lt;50),"轻度拥堵",AND(G12&gt;=20,G12&lt;35),"中度拥堵",AND(G12&gt;=0,G12&lt;20),"严重拥堵"),F12=90,_xlfn.IFS(G12&gt;=55,"畅通",AND(G12&gt;=35,G12&lt;55),"轻度拥堵",AND(G12&gt;=20,G12&lt;35),"中度拥堵",AND(G12&gt;=0,G12&lt;20),"严重拥堵"),F12=100,_xlfn.IFS(G12&gt;=60,"畅通",AND(G12&gt;=40,G12&lt;60),"轻度拥堵",AND(G12&gt;=20,G12&lt;40),"中度拥堵",AND(G12&gt;=0,G12&lt;20),"严重拥堵"),F12=110,_xlfn.IFS(G12&gt;=65,"畅通",AND(G12&gt;=45,G12&lt;65),"轻度拥堵",AND(G12&gt;=25,G12&lt;45),"中度拥堵",AND(G12&gt;=0,G12&lt;25),"严重拥堵"),F12=120,_xlfn.IFS(G12&gt;=70,"畅通",AND(G12&gt;=50,G12&lt;70),"轻度拥堵",AND(G12&gt;=30,G12&lt;50),"中度拥堵",AND(G12&gt;=0,G12&lt;30),"严重拥堵")))</f>
        <v>畅通</v>
      </c>
    </row>
    <row r="13" spans="1:8" x14ac:dyDescent="0.2">
      <c r="A13">
        <v>12</v>
      </c>
      <c r="B13" t="str" cm="1">
        <f t="array" aca="1" ref="B13" ca="1">INDIRECT("s"&amp;RANDBETWEEN(22,23))</f>
        <v>次干路</v>
      </c>
      <c r="C13">
        <f t="shared" ca="1" si="4"/>
        <v>155</v>
      </c>
      <c r="D13">
        <f t="shared" ca="1" si="5"/>
        <v>0.6</v>
      </c>
      <c r="E13">
        <f t="shared" ca="1" si="6"/>
        <v>2.5099999999999998</v>
      </c>
      <c r="F13" cm="1">
        <f t="array" aca="1" ref="F13" ca="1">INDIRECT("q"&amp;RANDBETWEEN(20,38))</f>
        <v>60</v>
      </c>
      <c r="G13">
        <f t="shared" ca="1" si="7"/>
        <v>37</v>
      </c>
      <c r="H13" t="str" cm="1">
        <f t="array" aca="1" ref="H13" ca="1">IF(OR(B13="主干路",B13="次干路"),_xlfn.IFS(F13=40,_xlfn.IFS(G13&gt;=25,"畅通",AND(G13&gt;=20,G13&lt;25),"轻度拥堵",AND(G13&gt;=15,G13&lt;20),"中度拥堵",AND(G13&gt;=0,G13&lt;15),"严重拥堵"),F13&lt;40,_xlfn.IFS(G13&gt;=25,"畅通",AND(G13&gt;=20,G13&lt;25),"轻度拥堵",AND(G13&gt;=10,G13&lt;20),"中度拥堵",AND(G13&gt;=0,G13&lt;10),"严重拥堵"),F13=50,_xlfn.IFS(G13&gt;=30,"畅通",AND(G13&gt;=25,G13&lt;30),"轻度拥堵",AND(G13&gt;=15,G13&lt;25),"中度拥堵",AND(G13&gt;=0,G13&lt;15),"严重拥堵"),F13=60,_xlfn.IFS(G13&gt;=35,"畅通",AND(G13&gt;=30,G13&lt;35),"轻度拥堵",AND(G13&gt;=20,G13&lt;30),"中度拥堵",AND(G13&gt;=0,G13&lt;20),"严重拥堵"),F13=70,_xlfn.IFS(G13&gt;=40,"畅通",AND(G13&gt;=30,G13&lt;40),"轻度拥堵",AND(G13&gt;=20,G13&lt;30),"中度拥堵",AND(G13&gt;=0,G13&lt;20),"严重拥堵"),F13=80,_xlfn.IFS(G13&gt;=45,"畅通",AND(G13&gt;=30,G13&lt;45),"轻度拥堵",AND(G13&gt;=20,G13&lt;30),"中度拥堵",AND(G13&gt;=0,G13&lt;20),"严重拥堵")),_xlfn.IFS(F13&lt;60,_xlfn.IFS(G13&gt;=40,"畅通",AND(G13&gt;=30,G13&lt;40),"轻度拥堵",AND(G13&gt;=20,G13&lt;30),"中度拥堵",AND(G13&gt;=0,G13&lt;20),"严重拥堵"),F13=60,_xlfn.IFS(G13&gt;=40,"畅通",AND(G13&gt;=30,G13&lt;40),"轻度拥堵",AND(G13&gt;=20,G13&lt;30),"中度拥堵",AND(G13&gt;=0,G13&lt;20),"严重拥堵"),F13=70,_xlfn.IFS(G13&gt;=45,"畅通",AND(G13&gt;=20,G13&lt;25),"轻度拥堵",AND(G13&gt;=10,G13&lt;20),"中度拥堵",AND(G13&gt;=0,G13&lt;10),"严重拥堵"),F13=80,_xlfn.IFS(G13&gt;=50,"畅通",AND(G13&gt;=35,G13&lt;50),"轻度拥堵",AND(G13&gt;=20,G13&lt;35),"中度拥堵",AND(G13&gt;=0,G13&lt;20),"严重拥堵"),F13=90,_xlfn.IFS(G13&gt;=55,"畅通",AND(G13&gt;=35,G13&lt;55),"轻度拥堵",AND(G13&gt;=20,G13&lt;35),"中度拥堵",AND(G13&gt;=0,G13&lt;20),"严重拥堵"),F13=100,_xlfn.IFS(G13&gt;=60,"畅通",AND(G13&gt;=40,G13&lt;60),"轻度拥堵",AND(G13&gt;=20,G13&lt;40),"中度拥堵",AND(G13&gt;=0,G13&lt;20),"严重拥堵"),F13=110,_xlfn.IFS(G13&gt;=65,"畅通",AND(G13&gt;=45,G13&lt;65),"轻度拥堵",AND(G13&gt;=25,G13&lt;45),"中度拥堵",AND(G13&gt;=0,G13&lt;25),"严重拥堵"),F13=120,_xlfn.IFS(G13&gt;=70,"畅通",AND(G13&gt;=50,G13&lt;70),"轻度拥堵",AND(G13&gt;=30,G13&lt;50),"中度拥堵",AND(G13&gt;=0,G13&lt;30),"严重拥堵")))</f>
        <v>畅通</v>
      </c>
    </row>
    <row r="14" spans="1:8" x14ac:dyDescent="0.2">
      <c r="A14">
        <v>13</v>
      </c>
      <c r="B14" t="str" cm="1">
        <f t="array" aca="1" ref="B14" ca="1">INDIRECT("s"&amp;RANDBETWEEN(22,23))</f>
        <v>次干路</v>
      </c>
      <c r="C14">
        <f t="shared" ca="1" si="4"/>
        <v>162</v>
      </c>
      <c r="D14">
        <f t="shared" ca="1" si="5"/>
        <v>1.5</v>
      </c>
      <c r="E14">
        <f t="shared" ca="1" si="6"/>
        <v>18.690000000000001</v>
      </c>
      <c r="F14" cm="1">
        <f t="array" aca="1" ref="F14" ca="1">INDIRECT("q"&amp;RANDBETWEEN(20,38))</f>
        <v>60</v>
      </c>
      <c r="G14">
        <f t="shared" ca="1" si="7"/>
        <v>13</v>
      </c>
      <c r="H14" t="str" cm="1">
        <f t="array" aca="1" ref="H14" ca="1">IF(OR(B14="主干路",B14="次干路"),_xlfn.IFS(F14=40,_xlfn.IFS(G14&gt;=25,"畅通",AND(G14&gt;=20,G14&lt;25),"轻度拥堵",AND(G14&gt;=15,G14&lt;20),"中度拥堵",AND(G14&gt;=0,G14&lt;15),"严重拥堵"),F14&lt;40,_xlfn.IFS(G14&gt;=25,"畅通",AND(G14&gt;=20,G14&lt;25),"轻度拥堵",AND(G14&gt;=10,G14&lt;20),"中度拥堵",AND(G14&gt;=0,G14&lt;10),"严重拥堵"),F14=50,_xlfn.IFS(G14&gt;=30,"畅通",AND(G14&gt;=25,G14&lt;30),"轻度拥堵",AND(G14&gt;=15,G14&lt;25),"中度拥堵",AND(G14&gt;=0,G14&lt;15),"严重拥堵"),F14=60,_xlfn.IFS(G14&gt;=35,"畅通",AND(G14&gt;=30,G14&lt;35),"轻度拥堵",AND(G14&gt;=20,G14&lt;30),"中度拥堵",AND(G14&gt;=0,G14&lt;20),"严重拥堵"),F14=70,_xlfn.IFS(G14&gt;=40,"畅通",AND(G14&gt;=30,G14&lt;40),"轻度拥堵",AND(G14&gt;=20,G14&lt;30),"中度拥堵",AND(G14&gt;=0,G14&lt;20),"严重拥堵"),F14=80,_xlfn.IFS(G14&gt;=45,"畅通",AND(G14&gt;=30,G14&lt;45),"轻度拥堵",AND(G14&gt;=20,G14&lt;30),"中度拥堵",AND(G14&gt;=0,G14&lt;20),"严重拥堵")),_xlfn.IFS(F14&lt;60,_xlfn.IFS(G14&gt;=40,"畅通",AND(G14&gt;=30,G14&lt;40),"轻度拥堵",AND(G14&gt;=20,G14&lt;30),"中度拥堵",AND(G14&gt;=0,G14&lt;20),"严重拥堵"),F14=60,_xlfn.IFS(G14&gt;=40,"畅通",AND(G14&gt;=30,G14&lt;40),"轻度拥堵",AND(G14&gt;=20,G14&lt;30),"中度拥堵",AND(G14&gt;=0,G14&lt;20),"严重拥堵"),F14=70,_xlfn.IFS(G14&gt;=45,"畅通",AND(G14&gt;=20,G14&lt;25),"轻度拥堵",AND(G14&gt;=10,G14&lt;20),"中度拥堵",AND(G14&gt;=0,G14&lt;10),"严重拥堵"),F14=80,_xlfn.IFS(G14&gt;=50,"畅通",AND(G14&gt;=35,G14&lt;50),"轻度拥堵",AND(G14&gt;=20,G14&lt;35),"中度拥堵",AND(G14&gt;=0,G14&lt;20),"严重拥堵"),F14=90,_xlfn.IFS(G14&gt;=55,"畅通",AND(G14&gt;=35,G14&lt;55),"轻度拥堵",AND(G14&gt;=20,G14&lt;35),"中度拥堵",AND(G14&gt;=0,G14&lt;20),"严重拥堵"),F14=100,_xlfn.IFS(G14&gt;=60,"畅通",AND(G14&gt;=40,G14&lt;60),"轻度拥堵",AND(G14&gt;=20,G14&lt;40),"中度拥堵",AND(G14&gt;=0,G14&lt;20),"严重拥堵"),F14=110,_xlfn.IFS(G14&gt;=65,"畅通",AND(G14&gt;=45,G14&lt;65),"轻度拥堵",AND(G14&gt;=25,G14&lt;45),"中度拥堵",AND(G14&gt;=0,G14&lt;25),"严重拥堵"),F14=120,_xlfn.IFS(G14&gt;=70,"畅通",AND(G14&gt;=50,G14&lt;70),"轻度拥堵",AND(G14&gt;=30,G14&lt;50),"中度拥堵",AND(G14&gt;=0,G14&lt;30),"严重拥堵")))</f>
        <v>严重拥堵</v>
      </c>
    </row>
    <row r="15" spans="1:8" x14ac:dyDescent="0.2">
      <c r="A15">
        <v>14</v>
      </c>
      <c r="B15" t="str" cm="1">
        <f t="array" aca="1" ref="B15" ca="1">INDIRECT("s"&amp;RANDBETWEEN(22,23))</f>
        <v>次干路</v>
      </c>
      <c r="C15">
        <f t="shared" ca="1" si="4"/>
        <v>170</v>
      </c>
      <c r="D15">
        <f t="shared" ca="1" si="5"/>
        <v>0.5</v>
      </c>
      <c r="E15">
        <f t="shared" ca="1" si="6"/>
        <v>10.63</v>
      </c>
      <c r="F15" cm="1">
        <f t="array" aca="1" ref="F15" ca="1">INDIRECT("q"&amp;RANDBETWEEN(20,38))</f>
        <v>60</v>
      </c>
      <c r="G15">
        <f t="shared" ca="1" si="7"/>
        <v>8</v>
      </c>
      <c r="H15" t="str" cm="1">
        <f t="array" aca="1" ref="H15" ca="1">IF(OR(B15="主干路",B15="次干路"),_xlfn.IFS(F15=40,_xlfn.IFS(G15&gt;=25,"畅通",AND(G15&gt;=20,G15&lt;25),"轻度拥堵",AND(G15&gt;=15,G15&lt;20),"中度拥堵",AND(G15&gt;=0,G15&lt;15),"严重拥堵"),F15&lt;40,_xlfn.IFS(G15&gt;=25,"畅通",AND(G15&gt;=20,G15&lt;25),"轻度拥堵",AND(G15&gt;=10,G15&lt;20),"中度拥堵",AND(G15&gt;=0,G15&lt;10),"严重拥堵"),F15=50,_xlfn.IFS(G15&gt;=30,"畅通",AND(G15&gt;=25,G15&lt;30),"轻度拥堵",AND(G15&gt;=15,G15&lt;25),"中度拥堵",AND(G15&gt;=0,G15&lt;15),"严重拥堵"),F15=60,_xlfn.IFS(G15&gt;=35,"畅通",AND(G15&gt;=30,G15&lt;35),"轻度拥堵",AND(G15&gt;=20,G15&lt;30),"中度拥堵",AND(G15&gt;=0,G15&lt;20),"严重拥堵"),F15=70,_xlfn.IFS(G15&gt;=40,"畅通",AND(G15&gt;=30,G15&lt;40),"轻度拥堵",AND(G15&gt;=20,G15&lt;30),"中度拥堵",AND(G15&gt;=0,G15&lt;20),"严重拥堵"),F15=80,_xlfn.IFS(G15&gt;=45,"畅通",AND(G15&gt;=30,G15&lt;45),"轻度拥堵",AND(G15&gt;=20,G15&lt;30),"中度拥堵",AND(G15&gt;=0,G15&lt;20),"严重拥堵")),_xlfn.IFS(F15&lt;60,_xlfn.IFS(G15&gt;=40,"畅通",AND(G15&gt;=30,G15&lt;40),"轻度拥堵",AND(G15&gt;=20,G15&lt;30),"中度拥堵",AND(G15&gt;=0,G15&lt;20),"严重拥堵"),F15=60,_xlfn.IFS(G15&gt;=40,"畅通",AND(G15&gt;=30,G15&lt;40),"轻度拥堵",AND(G15&gt;=20,G15&lt;30),"中度拥堵",AND(G15&gt;=0,G15&lt;20),"严重拥堵"),F15=70,_xlfn.IFS(G15&gt;=45,"畅通",AND(G15&gt;=20,G15&lt;25),"轻度拥堵",AND(G15&gt;=10,G15&lt;20),"中度拥堵",AND(G15&gt;=0,G15&lt;10),"严重拥堵"),F15=80,_xlfn.IFS(G15&gt;=50,"畅通",AND(G15&gt;=35,G15&lt;50),"轻度拥堵",AND(G15&gt;=20,G15&lt;35),"中度拥堵",AND(G15&gt;=0,G15&lt;20),"严重拥堵"),F15=90,_xlfn.IFS(G15&gt;=55,"畅通",AND(G15&gt;=35,G15&lt;55),"轻度拥堵",AND(G15&gt;=20,G15&lt;35),"中度拥堵",AND(G15&gt;=0,G15&lt;20),"严重拥堵"),F15=100,_xlfn.IFS(G15&gt;=60,"畅通",AND(G15&gt;=40,G15&lt;60),"轻度拥堵",AND(G15&gt;=20,G15&lt;40),"中度拥堵",AND(G15&gt;=0,G15&lt;20),"严重拥堵"),F15=110,_xlfn.IFS(G15&gt;=65,"畅通",AND(G15&gt;=45,G15&lt;65),"轻度拥堵",AND(G15&gt;=25,G15&lt;45),"中度拥堵",AND(G15&gt;=0,G15&lt;25),"严重拥堵"),F15=120,_xlfn.IFS(G15&gt;=70,"畅通",AND(G15&gt;=50,G15&lt;70),"轻度拥堵",AND(G15&gt;=30,G15&lt;50),"中度拥堵",AND(G15&gt;=0,G15&lt;30),"严重拥堵")))</f>
        <v>严重拥堵</v>
      </c>
    </row>
    <row r="16" spans="1:8" x14ac:dyDescent="0.2">
      <c r="A16">
        <v>15</v>
      </c>
      <c r="B16" t="str" cm="1">
        <f t="array" aca="1" ref="B16" ca="1">INDIRECT("s"&amp;RANDBETWEEN(22,23))</f>
        <v>次干路</v>
      </c>
      <c r="C16">
        <f t="shared" ca="1" si="4"/>
        <v>79</v>
      </c>
      <c r="D16">
        <f t="shared" ca="1" si="5"/>
        <v>1.5</v>
      </c>
      <c r="E16">
        <f t="shared" ca="1" si="6"/>
        <v>14.81</v>
      </c>
      <c r="F16" cm="1">
        <f t="array" aca="1" ref="F16" ca="1">INDIRECT("q"&amp;RANDBETWEEN(20,38))</f>
        <v>60</v>
      </c>
      <c r="G16">
        <f t="shared" ca="1" si="7"/>
        <v>8</v>
      </c>
      <c r="H16" t="str" cm="1">
        <f t="array" aca="1" ref="H16" ca="1">IF(OR(B16="主干路",B16="次干路"),_xlfn.IFS(F16=40,_xlfn.IFS(G16&gt;=25,"畅通",AND(G16&gt;=20,G16&lt;25),"轻度拥堵",AND(G16&gt;=15,G16&lt;20),"中度拥堵",AND(G16&gt;=0,G16&lt;15),"严重拥堵"),F16&lt;40,_xlfn.IFS(G16&gt;=25,"畅通",AND(G16&gt;=20,G16&lt;25),"轻度拥堵",AND(G16&gt;=10,G16&lt;20),"中度拥堵",AND(G16&gt;=0,G16&lt;10),"严重拥堵"),F16=50,_xlfn.IFS(G16&gt;=30,"畅通",AND(G16&gt;=25,G16&lt;30),"轻度拥堵",AND(G16&gt;=15,G16&lt;25),"中度拥堵",AND(G16&gt;=0,G16&lt;15),"严重拥堵"),F16=60,_xlfn.IFS(G16&gt;=35,"畅通",AND(G16&gt;=30,G16&lt;35),"轻度拥堵",AND(G16&gt;=20,G16&lt;30),"中度拥堵",AND(G16&gt;=0,G16&lt;20),"严重拥堵"),F16=70,_xlfn.IFS(G16&gt;=40,"畅通",AND(G16&gt;=30,G16&lt;40),"轻度拥堵",AND(G16&gt;=20,G16&lt;30),"中度拥堵",AND(G16&gt;=0,G16&lt;20),"严重拥堵"),F16=80,_xlfn.IFS(G16&gt;=45,"畅通",AND(G16&gt;=30,G16&lt;45),"轻度拥堵",AND(G16&gt;=20,G16&lt;30),"中度拥堵",AND(G16&gt;=0,G16&lt;20),"严重拥堵")),_xlfn.IFS(F16&lt;60,_xlfn.IFS(G16&gt;=40,"畅通",AND(G16&gt;=30,G16&lt;40),"轻度拥堵",AND(G16&gt;=20,G16&lt;30),"中度拥堵",AND(G16&gt;=0,G16&lt;20),"严重拥堵"),F16=60,_xlfn.IFS(G16&gt;=40,"畅通",AND(G16&gt;=30,G16&lt;40),"轻度拥堵",AND(G16&gt;=20,G16&lt;30),"中度拥堵",AND(G16&gt;=0,G16&lt;20),"严重拥堵"),F16=70,_xlfn.IFS(G16&gt;=45,"畅通",AND(G16&gt;=20,G16&lt;25),"轻度拥堵",AND(G16&gt;=10,G16&lt;20),"中度拥堵",AND(G16&gt;=0,G16&lt;10),"严重拥堵"),F16=80,_xlfn.IFS(G16&gt;=50,"畅通",AND(G16&gt;=35,G16&lt;50),"轻度拥堵",AND(G16&gt;=20,G16&lt;35),"中度拥堵",AND(G16&gt;=0,G16&lt;20),"严重拥堵"),F16=90,_xlfn.IFS(G16&gt;=55,"畅通",AND(G16&gt;=35,G16&lt;55),"轻度拥堵",AND(G16&gt;=20,G16&lt;35),"中度拥堵",AND(G16&gt;=0,G16&lt;20),"严重拥堵"),F16=100,_xlfn.IFS(G16&gt;=60,"畅通",AND(G16&gt;=40,G16&lt;60),"轻度拥堵",AND(G16&gt;=20,G16&lt;40),"中度拥堵",AND(G16&gt;=0,G16&lt;20),"严重拥堵"),F16=110,_xlfn.IFS(G16&gt;=65,"畅通",AND(G16&gt;=45,G16&lt;65),"轻度拥堵",AND(G16&gt;=25,G16&lt;45),"中度拥堵",AND(G16&gt;=0,G16&lt;25),"严重拥堵"),F16=120,_xlfn.IFS(G16&gt;=70,"畅通",AND(G16&gt;=50,G16&lt;70),"轻度拥堵",AND(G16&gt;=30,G16&lt;50),"中度拥堵",AND(G16&gt;=0,G16&lt;30),"严重拥堵")))</f>
        <v>严重拥堵</v>
      </c>
    </row>
    <row r="17" spans="1:19" x14ac:dyDescent="0.2">
      <c r="A17">
        <v>16</v>
      </c>
      <c r="B17" t="str" cm="1">
        <f t="array" aca="1" ref="B17" ca="1">INDIRECT("s"&amp;RANDBETWEEN(22,23))</f>
        <v>主干路</v>
      </c>
      <c r="C17">
        <f t="shared" ca="1" si="4"/>
        <v>101</v>
      </c>
      <c r="D17">
        <f t="shared" ca="1" si="5"/>
        <v>0.6</v>
      </c>
      <c r="E17">
        <f t="shared" ca="1" si="6"/>
        <v>2.42</v>
      </c>
      <c r="F17" cm="1">
        <f t="array" aca="1" ref="F17" ca="1">INDIRECT("q"&amp;RANDBETWEEN(20,38))</f>
        <v>60</v>
      </c>
      <c r="G17">
        <f t="shared" ca="1" si="7"/>
        <v>25</v>
      </c>
      <c r="H17" t="str" cm="1">
        <f t="array" aca="1" ref="H17" ca="1">IF(OR(B17="主干路",B17="次干路"),_xlfn.IFS(F17=40,_xlfn.IFS(G17&gt;=25,"畅通",AND(G17&gt;=20,G17&lt;25),"轻度拥堵",AND(G17&gt;=15,G17&lt;20),"中度拥堵",AND(G17&gt;=0,G17&lt;15),"严重拥堵"),F17&lt;40,_xlfn.IFS(G17&gt;=25,"畅通",AND(G17&gt;=20,G17&lt;25),"轻度拥堵",AND(G17&gt;=10,G17&lt;20),"中度拥堵",AND(G17&gt;=0,G17&lt;10),"严重拥堵"),F17=50,_xlfn.IFS(G17&gt;=30,"畅通",AND(G17&gt;=25,G17&lt;30),"轻度拥堵",AND(G17&gt;=15,G17&lt;25),"中度拥堵",AND(G17&gt;=0,G17&lt;15),"严重拥堵"),F17=60,_xlfn.IFS(G17&gt;=35,"畅通",AND(G17&gt;=30,G17&lt;35),"轻度拥堵",AND(G17&gt;=20,G17&lt;30),"中度拥堵",AND(G17&gt;=0,G17&lt;20),"严重拥堵"),F17=70,_xlfn.IFS(G17&gt;=40,"畅通",AND(G17&gt;=30,G17&lt;40),"轻度拥堵",AND(G17&gt;=20,G17&lt;30),"中度拥堵",AND(G17&gt;=0,G17&lt;20),"严重拥堵"),F17=80,_xlfn.IFS(G17&gt;=45,"畅通",AND(G17&gt;=30,G17&lt;45),"轻度拥堵",AND(G17&gt;=20,G17&lt;30),"中度拥堵",AND(G17&gt;=0,G17&lt;20),"严重拥堵")),_xlfn.IFS(F17&lt;60,_xlfn.IFS(G17&gt;=40,"畅通",AND(G17&gt;=30,G17&lt;40),"轻度拥堵",AND(G17&gt;=20,G17&lt;30),"中度拥堵",AND(G17&gt;=0,G17&lt;20),"严重拥堵"),F17=60,_xlfn.IFS(G17&gt;=40,"畅通",AND(G17&gt;=30,G17&lt;40),"轻度拥堵",AND(G17&gt;=20,G17&lt;30),"中度拥堵",AND(G17&gt;=0,G17&lt;20),"严重拥堵"),F17=70,_xlfn.IFS(G17&gt;=45,"畅通",AND(G17&gt;=20,G17&lt;25),"轻度拥堵",AND(G17&gt;=10,G17&lt;20),"中度拥堵",AND(G17&gt;=0,G17&lt;10),"严重拥堵"),F17=80,_xlfn.IFS(G17&gt;=50,"畅通",AND(G17&gt;=35,G17&lt;50),"轻度拥堵",AND(G17&gt;=20,G17&lt;35),"中度拥堵",AND(G17&gt;=0,G17&lt;20),"严重拥堵"),F17=90,_xlfn.IFS(G17&gt;=55,"畅通",AND(G17&gt;=35,G17&lt;55),"轻度拥堵",AND(G17&gt;=20,G17&lt;35),"中度拥堵",AND(G17&gt;=0,G17&lt;20),"严重拥堵"),F17=100,_xlfn.IFS(G17&gt;=60,"畅通",AND(G17&gt;=40,G17&lt;60),"轻度拥堵",AND(G17&gt;=20,G17&lt;40),"中度拥堵",AND(G17&gt;=0,G17&lt;20),"严重拥堵"),F17=110,_xlfn.IFS(G17&gt;=65,"畅通",AND(G17&gt;=45,G17&lt;65),"轻度拥堵",AND(G17&gt;=25,G17&lt;45),"中度拥堵",AND(G17&gt;=0,G17&lt;25),"严重拥堵"),F17=120,_xlfn.IFS(G17&gt;=70,"畅通",AND(G17&gt;=50,G17&lt;70),"轻度拥堵",AND(G17&gt;=30,G17&lt;50),"中度拥堵",AND(G17&gt;=0,G17&lt;30),"严重拥堵")))</f>
        <v>中度拥堵</v>
      </c>
    </row>
    <row r="18" spans="1:19" x14ac:dyDescent="0.2">
      <c r="A18">
        <v>17</v>
      </c>
      <c r="B18" t="str" cm="1">
        <f t="array" aca="1" ref="B18" ca="1">INDIRECT("s"&amp;RANDBETWEEN(22,23))</f>
        <v>主干路</v>
      </c>
      <c r="C18">
        <f t="shared" ca="1" si="4"/>
        <v>167</v>
      </c>
      <c r="D18">
        <f t="shared" ca="1" si="5"/>
        <v>0.7</v>
      </c>
      <c r="E18">
        <f t="shared" ca="1" si="6"/>
        <v>3.54</v>
      </c>
      <c r="F18" cm="1">
        <f t="array" aca="1" ref="F18" ca="1">INDIRECT("q"&amp;RANDBETWEEN(20,38))</f>
        <v>50</v>
      </c>
      <c r="G18">
        <f t="shared" ca="1" si="7"/>
        <v>33</v>
      </c>
      <c r="H18" t="str" cm="1">
        <f t="array" aca="1" ref="H18" ca="1">IF(OR(B18="主干路",B18="次干路"),_xlfn.IFS(F18=40,_xlfn.IFS(G18&gt;=25,"畅通",AND(G18&gt;=20,G18&lt;25),"轻度拥堵",AND(G18&gt;=15,G18&lt;20),"中度拥堵",AND(G18&gt;=0,G18&lt;15),"严重拥堵"),F18&lt;40,_xlfn.IFS(G18&gt;=25,"畅通",AND(G18&gt;=20,G18&lt;25),"轻度拥堵",AND(G18&gt;=10,G18&lt;20),"中度拥堵",AND(G18&gt;=0,G18&lt;10),"严重拥堵"),F18=50,_xlfn.IFS(G18&gt;=30,"畅通",AND(G18&gt;=25,G18&lt;30),"轻度拥堵",AND(G18&gt;=15,G18&lt;25),"中度拥堵",AND(G18&gt;=0,G18&lt;15),"严重拥堵"),F18=60,_xlfn.IFS(G18&gt;=35,"畅通",AND(G18&gt;=30,G18&lt;35),"轻度拥堵",AND(G18&gt;=20,G18&lt;30),"中度拥堵",AND(G18&gt;=0,G18&lt;20),"严重拥堵"),F18=70,_xlfn.IFS(G18&gt;=40,"畅通",AND(G18&gt;=30,G18&lt;40),"轻度拥堵",AND(G18&gt;=20,G18&lt;30),"中度拥堵",AND(G18&gt;=0,G18&lt;20),"严重拥堵"),F18=80,_xlfn.IFS(G18&gt;=45,"畅通",AND(G18&gt;=30,G18&lt;45),"轻度拥堵",AND(G18&gt;=20,G18&lt;30),"中度拥堵",AND(G18&gt;=0,G18&lt;20),"严重拥堵")),_xlfn.IFS(F18&lt;60,_xlfn.IFS(G18&gt;=40,"畅通",AND(G18&gt;=30,G18&lt;40),"轻度拥堵",AND(G18&gt;=20,G18&lt;30),"中度拥堵",AND(G18&gt;=0,G18&lt;20),"严重拥堵"),F18=60,_xlfn.IFS(G18&gt;=40,"畅通",AND(G18&gt;=30,G18&lt;40),"轻度拥堵",AND(G18&gt;=20,G18&lt;30),"中度拥堵",AND(G18&gt;=0,G18&lt;20),"严重拥堵"),F18=70,_xlfn.IFS(G18&gt;=45,"畅通",AND(G18&gt;=20,G18&lt;25),"轻度拥堵",AND(G18&gt;=10,G18&lt;20),"中度拥堵",AND(G18&gt;=0,G18&lt;10),"严重拥堵"),F18=80,_xlfn.IFS(G18&gt;=50,"畅通",AND(G18&gt;=35,G18&lt;50),"轻度拥堵",AND(G18&gt;=20,G18&lt;35),"中度拥堵",AND(G18&gt;=0,G18&lt;20),"严重拥堵"),F18=90,_xlfn.IFS(G18&gt;=55,"畅通",AND(G18&gt;=35,G18&lt;55),"轻度拥堵",AND(G18&gt;=20,G18&lt;35),"中度拥堵",AND(G18&gt;=0,G18&lt;20),"严重拥堵"),F18=100,_xlfn.IFS(G18&gt;=60,"畅通",AND(G18&gt;=40,G18&lt;60),"轻度拥堵",AND(G18&gt;=20,G18&lt;40),"中度拥堵",AND(G18&gt;=0,G18&lt;20),"严重拥堵"),F18=110,_xlfn.IFS(G18&gt;=65,"畅通",AND(G18&gt;=45,G18&lt;65),"轻度拥堵",AND(G18&gt;=25,G18&lt;45),"中度拥堵",AND(G18&gt;=0,G18&lt;25),"严重拥堵"),F18=120,_xlfn.IFS(G18&gt;=70,"畅通",AND(G18&gt;=50,G18&lt;70),"轻度拥堵",AND(G18&gt;=30,G18&lt;50),"中度拥堵",AND(G18&gt;=0,G18&lt;30),"严重拥堵")))</f>
        <v>畅通</v>
      </c>
    </row>
    <row r="19" spans="1:19" x14ac:dyDescent="0.2">
      <c r="A19">
        <v>18</v>
      </c>
      <c r="B19" t="str" cm="1">
        <f t="array" aca="1" ref="B19" ca="1">INDIRECT("s"&amp;RANDBETWEEN(22,23))</f>
        <v>次干路</v>
      </c>
      <c r="C19">
        <f t="shared" ca="1" si="4"/>
        <v>159</v>
      </c>
      <c r="D19">
        <f t="shared" ca="1" si="5"/>
        <v>0.6</v>
      </c>
      <c r="E19">
        <f t="shared" ca="1" si="6"/>
        <v>3.82</v>
      </c>
      <c r="F19" cm="1">
        <f t="array" aca="1" ref="F19" ca="1">INDIRECT("q"&amp;RANDBETWEEN(20,38))</f>
        <v>60</v>
      </c>
      <c r="G19">
        <f t="shared" ca="1" si="7"/>
        <v>25</v>
      </c>
      <c r="H19" t="str" cm="1">
        <f t="array" aca="1" ref="H19" ca="1">IF(OR(B19="主干路",B19="次干路"),_xlfn.IFS(F19=40,_xlfn.IFS(G19&gt;=25,"畅通",AND(G19&gt;=20,G19&lt;25),"轻度拥堵",AND(G19&gt;=15,G19&lt;20),"中度拥堵",AND(G19&gt;=0,G19&lt;15),"严重拥堵"),F19&lt;40,_xlfn.IFS(G19&gt;=25,"畅通",AND(G19&gt;=20,G19&lt;25),"轻度拥堵",AND(G19&gt;=10,G19&lt;20),"中度拥堵",AND(G19&gt;=0,G19&lt;10),"严重拥堵"),F19=50,_xlfn.IFS(G19&gt;=30,"畅通",AND(G19&gt;=25,G19&lt;30),"轻度拥堵",AND(G19&gt;=15,G19&lt;25),"中度拥堵",AND(G19&gt;=0,G19&lt;15),"严重拥堵"),F19=60,_xlfn.IFS(G19&gt;=35,"畅通",AND(G19&gt;=30,G19&lt;35),"轻度拥堵",AND(G19&gt;=20,G19&lt;30),"中度拥堵",AND(G19&gt;=0,G19&lt;20),"严重拥堵"),F19=70,_xlfn.IFS(G19&gt;=40,"畅通",AND(G19&gt;=30,G19&lt;40),"轻度拥堵",AND(G19&gt;=20,G19&lt;30),"中度拥堵",AND(G19&gt;=0,G19&lt;20),"严重拥堵"),F19=80,_xlfn.IFS(G19&gt;=45,"畅通",AND(G19&gt;=30,G19&lt;45),"轻度拥堵",AND(G19&gt;=20,G19&lt;30),"中度拥堵",AND(G19&gt;=0,G19&lt;20),"严重拥堵")),_xlfn.IFS(F19&lt;60,_xlfn.IFS(G19&gt;=40,"畅通",AND(G19&gt;=30,G19&lt;40),"轻度拥堵",AND(G19&gt;=20,G19&lt;30),"中度拥堵",AND(G19&gt;=0,G19&lt;20),"严重拥堵"),F19=60,_xlfn.IFS(G19&gt;=40,"畅通",AND(G19&gt;=30,G19&lt;40),"轻度拥堵",AND(G19&gt;=20,G19&lt;30),"中度拥堵",AND(G19&gt;=0,G19&lt;20),"严重拥堵"),F19=70,_xlfn.IFS(G19&gt;=45,"畅通",AND(G19&gt;=20,G19&lt;25),"轻度拥堵",AND(G19&gt;=10,G19&lt;20),"中度拥堵",AND(G19&gt;=0,G19&lt;10),"严重拥堵"),F19=80,_xlfn.IFS(G19&gt;=50,"畅通",AND(G19&gt;=35,G19&lt;50),"轻度拥堵",AND(G19&gt;=20,G19&lt;35),"中度拥堵",AND(G19&gt;=0,G19&lt;20),"严重拥堵"),F19=90,_xlfn.IFS(G19&gt;=55,"畅通",AND(G19&gt;=35,G19&lt;55),"轻度拥堵",AND(G19&gt;=20,G19&lt;35),"中度拥堵",AND(G19&gt;=0,G19&lt;20),"严重拥堵"),F19=100,_xlfn.IFS(G19&gt;=60,"畅通",AND(G19&gt;=40,G19&lt;60),"轻度拥堵",AND(G19&gt;=20,G19&lt;40),"中度拥堵",AND(G19&gt;=0,G19&lt;20),"严重拥堵"),F19=110,_xlfn.IFS(G19&gt;=65,"畅通",AND(G19&gt;=45,G19&lt;65),"轻度拥堵",AND(G19&gt;=25,G19&lt;45),"中度拥堵",AND(G19&gt;=0,G19&lt;25),"严重拥堵"),F19=120,_xlfn.IFS(G19&gt;=70,"畅通",AND(G19&gt;=50,G19&lt;70),"轻度拥堵",AND(G19&gt;=30,G19&lt;50),"中度拥堵",AND(G19&gt;=0,G19&lt;30),"严重拥堵")))</f>
        <v>中度拥堵</v>
      </c>
    </row>
    <row r="20" spans="1:19" x14ac:dyDescent="0.2">
      <c r="A20">
        <v>19</v>
      </c>
      <c r="B20" t="str" cm="1">
        <f t="array" aca="1" ref="B20" ca="1">INDIRECT("s"&amp;RANDBETWEEN(22,23))</f>
        <v>次干路</v>
      </c>
      <c r="C20">
        <f t="shared" ca="1" si="4"/>
        <v>181</v>
      </c>
      <c r="D20">
        <f t="shared" ca="1" si="5"/>
        <v>1.9</v>
      </c>
      <c r="E20">
        <f t="shared" ca="1" si="6"/>
        <v>14.33</v>
      </c>
      <c r="F20" cm="1">
        <f t="array" aca="1" ref="F20" ca="1">INDIRECT("q"&amp;RANDBETWEEN(20,38))</f>
        <v>80</v>
      </c>
      <c r="G20">
        <f t="shared" ca="1" si="7"/>
        <v>24</v>
      </c>
      <c r="H20" t="str" cm="1">
        <f t="array" aca="1" ref="H20" ca="1">IF(OR(B20="主干路",B20="次干路"),_xlfn.IFS(F20=40,_xlfn.IFS(G20&gt;=25,"畅通",AND(G20&gt;=20,G20&lt;25),"轻度拥堵",AND(G20&gt;=15,G20&lt;20),"中度拥堵",AND(G20&gt;=0,G20&lt;15),"严重拥堵"),F20&lt;40,_xlfn.IFS(G20&gt;=25,"畅通",AND(G20&gt;=20,G20&lt;25),"轻度拥堵",AND(G20&gt;=10,G20&lt;20),"中度拥堵",AND(G20&gt;=0,G20&lt;10),"严重拥堵"),F20=50,_xlfn.IFS(G20&gt;=30,"畅通",AND(G20&gt;=25,G20&lt;30),"轻度拥堵",AND(G20&gt;=15,G20&lt;25),"中度拥堵",AND(G20&gt;=0,G20&lt;15),"严重拥堵"),F20=60,_xlfn.IFS(G20&gt;=35,"畅通",AND(G20&gt;=30,G20&lt;35),"轻度拥堵",AND(G20&gt;=20,G20&lt;30),"中度拥堵",AND(G20&gt;=0,G20&lt;20),"严重拥堵"),F20=70,_xlfn.IFS(G20&gt;=40,"畅通",AND(G20&gt;=30,G20&lt;40),"轻度拥堵",AND(G20&gt;=20,G20&lt;30),"中度拥堵",AND(G20&gt;=0,G20&lt;20),"严重拥堵"),F20=80,_xlfn.IFS(G20&gt;=45,"畅通",AND(G20&gt;=30,G20&lt;45),"轻度拥堵",AND(G20&gt;=20,G20&lt;30),"中度拥堵",AND(G20&gt;=0,G20&lt;20),"严重拥堵")),_xlfn.IFS(F20&lt;60,_xlfn.IFS(G20&gt;=40,"畅通",AND(G20&gt;=30,G20&lt;40),"轻度拥堵",AND(G20&gt;=20,G20&lt;30),"中度拥堵",AND(G20&gt;=0,G20&lt;20),"严重拥堵"),F20=60,_xlfn.IFS(G20&gt;=40,"畅通",AND(G20&gt;=30,G20&lt;40),"轻度拥堵",AND(G20&gt;=20,G20&lt;30),"中度拥堵",AND(G20&gt;=0,G20&lt;20),"严重拥堵"),F20=70,_xlfn.IFS(G20&gt;=45,"畅通",AND(G20&gt;=20,G20&lt;25),"轻度拥堵",AND(G20&gt;=10,G20&lt;20),"中度拥堵",AND(G20&gt;=0,G20&lt;10),"严重拥堵"),F20=80,_xlfn.IFS(G20&gt;=50,"畅通",AND(G20&gt;=35,G20&lt;50),"轻度拥堵",AND(G20&gt;=20,G20&lt;35),"中度拥堵",AND(G20&gt;=0,G20&lt;20),"严重拥堵"),F20=90,_xlfn.IFS(G20&gt;=55,"畅通",AND(G20&gt;=35,G20&lt;55),"轻度拥堵",AND(G20&gt;=20,G20&lt;35),"中度拥堵",AND(G20&gt;=0,G20&lt;20),"严重拥堵"),F20=100,_xlfn.IFS(G20&gt;=60,"畅通",AND(G20&gt;=40,G20&lt;60),"轻度拥堵",AND(G20&gt;=20,G20&lt;40),"中度拥堵",AND(G20&gt;=0,G20&lt;20),"严重拥堵"),F20=110,_xlfn.IFS(G20&gt;=65,"畅通",AND(G20&gt;=45,G20&lt;65),"轻度拥堵",AND(G20&gt;=25,G20&lt;45),"中度拥堵",AND(G20&gt;=0,G20&lt;25),"严重拥堵"),F20=120,_xlfn.IFS(G20&gt;=70,"畅通",AND(G20&gt;=50,G20&lt;70),"轻度拥堵",AND(G20&gt;=30,G20&lt;50),"中度拥堵",AND(G20&gt;=0,G20&lt;30),"严重拥堵")))</f>
        <v>中度拥堵</v>
      </c>
      <c r="P20">
        <v>40</v>
      </c>
      <c r="Q20">
        <v>60</v>
      </c>
    </row>
    <row r="21" spans="1:19" x14ac:dyDescent="0.2">
      <c r="A21">
        <v>20</v>
      </c>
      <c r="B21" t="str" cm="1">
        <f t="array" aca="1" ref="B21" ca="1">INDIRECT("r"&amp;RANDBETWEEN(22,23))</f>
        <v>公路</v>
      </c>
      <c r="C21">
        <f t="shared" ref="C21:C36" ca="1" si="8">RANDBETWEEN(145,482)</f>
        <v>388</v>
      </c>
      <c r="D21">
        <f t="shared" ref="D21:D36" ca="1" si="9">RANDBETWEEN(20,50)/10</f>
        <v>3.9</v>
      </c>
      <c r="E21">
        <f t="shared" ca="1" si="6"/>
        <v>19.149999999999999</v>
      </c>
      <c r="F21" cm="1">
        <f t="array" aca="1" ref="F21" ca="1">INDIRECT("p"&amp;RANDBETWEEN(20,39))</f>
        <v>100</v>
      </c>
      <c r="G21">
        <f t="shared" ca="1" si="7"/>
        <v>79</v>
      </c>
      <c r="H21" t="str" cm="1">
        <f t="array" aca="1" ref="H21" ca="1">IF(OR(B21="主干路",B21="次干路"),_xlfn.IFS(F21=40,_xlfn.IFS(G21&gt;=25,"畅通",AND(G21&gt;=20,G21&lt;25),"轻度拥堵",AND(G21&gt;=15,G21&lt;20),"中度拥堵",AND(G21&gt;=0,G21&lt;15),"严重拥堵"),F21&lt;40,_xlfn.IFS(G21&gt;=25,"畅通",AND(G21&gt;=20,G21&lt;25),"轻度拥堵",AND(G21&gt;=10,G21&lt;20),"中度拥堵",AND(G21&gt;=0,G21&lt;10),"严重拥堵"),F21=50,_xlfn.IFS(G21&gt;=30,"畅通",AND(G21&gt;=25,G21&lt;30),"轻度拥堵",AND(G21&gt;=15,G21&lt;25),"中度拥堵",AND(G21&gt;=0,G21&lt;15),"严重拥堵"),F21=60,_xlfn.IFS(G21&gt;=35,"畅通",AND(G21&gt;=30,G21&lt;35),"轻度拥堵",AND(G21&gt;=20,G21&lt;30),"中度拥堵",AND(G21&gt;=0,G21&lt;20),"严重拥堵"),F21=70,_xlfn.IFS(G21&gt;=40,"畅通",AND(G21&gt;=30,G21&lt;40),"轻度拥堵",AND(G21&gt;=20,G21&lt;30),"中度拥堵",AND(G21&gt;=0,G21&lt;20),"严重拥堵"),F21=80,_xlfn.IFS(G21&gt;=45,"畅通",AND(G21&gt;=30,G21&lt;45),"轻度拥堵",AND(G21&gt;=20,G21&lt;30),"中度拥堵",AND(G21&gt;=0,G21&lt;20),"严重拥堵")),_xlfn.IFS(F21&lt;60,_xlfn.IFS(G21&gt;=40,"畅通",AND(G21&gt;=30,G21&lt;40),"轻度拥堵",AND(G21&gt;=20,G21&lt;30),"中度拥堵",AND(G21&gt;=0,G21&lt;20),"严重拥堵"),F21=60,_xlfn.IFS(G21&gt;=40,"畅通",AND(G21&gt;=30,G21&lt;40),"轻度拥堵",AND(G21&gt;=20,G21&lt;30),"中度拥堵",AND(G21&gt;=0,G21&lt;20),"严重拥堵"),F21=70,_xlfn.IFS(G21&gt;=45,"畅通",AND(G21&gt;=30,G21&lt;45),"轻度拥堵",AND(G21&gt;=20,G21&lt;30),"中度拥堵",AND(G21&gt;=0,G21&lt;20),"严重拥堵"),F21=80,_xlfn.IFS(G21&gt;=50,"畅通",AND(G21&gt;=35,G21&lt;50),"轻度拥堵",AND(G21&gt;=20,G21&lt;35),"中度拥堵",AND(G21&gt;=0,G21&lt;20),"严重拥堵"),F21=90,_xlfn.IFS(G21&gt;=55,"畅通",AND(G21&gt;=35,G21&lt;55),"轻度拥堵",AND(G21&gt;=20,G21&lt;35),"中度拥堵",AND(G21&gt;=0,G21&lt;20),"严重拥堵"),F21=100,_xlfn.IFS(G21&gt;=60,"畅通",AND(G21&gt;=40,G21&lt;60),"轻度拥堵",AND(G21&gt;=20,G21&lt;40),"中度拥堵",AND(G21&gt;=0,G21&lt;20),"严重拥堵"),F21=110,_xlfn.IFS(G21&gt;=65,"畅通",AND(G21&gt;=45,G21&lt;65),"轻度拥堵",AND(G21&gt;=25,G21&lt;45),"中度拥堵",AND(G21&gt;=0,G21&lt;25),"严重拥堵"),F21=120,_xlfn.IFS(G21&gt;=70,"畅通",AND(G21&gt;=50,G21&lt;70),"轻度拥堵",AND(G21&gt;=30,G21&lt;50),"中度拥堵",AND(G21&gt;=0,G21&lt;30),"严重拥堵")))</f>
        <v>畅通</v>
      </c>
      <c r="P21">
        <v>50</v>
      </c>
      <c r="Q21">
        <v>60</v>
      </c>
    </row>
    <row r="22" spans="1:19" x14ac:dyDescent="0.2">
      <c r="A22">
        <v>21</v>
      </c>
      <c r="B22" t="str" cm="1">
        <f t="array" aca="1" ref="B22" ca="1">INDIRECT("r"&amp;RANDBETWEEN(22,23))</f>
        <v>公路</v>
      </c>
      <c r="C22">
        <f t="shared" ca="1" si="8"/>
        <v>417</v>
      </c>
      <c r="D22">
        <f t="shared" ca="1" si="9"/>
        <v>4.8</v>
      </c>
      <c r="E22">
        <f t="shared" ca="1" si="6"/>
        <v>43.51</v>
      </c>
      <c r="F22" cm="1">
        <f t="array" aca="1" ref="F22" ca="1">INDIRECT("p"&amp;RANDBETWEEN(20,39))</f>
        <v>80</v>
      </c>
      <c r="G22">
        <f t="shared" ca="1" si="7"/>
        <v>46</v>
      </c>
      <c r="H22" t="str" cm="1">
        <f t="array" aca="1" ref="H22" ca="1">IF(OR(B22="主干路",B22="次干路"),_xlfn.IFS(F22=40,_xlfn.IFS(G22&gt;=25,"畅通",AND(G22&gt;=20,G22&lt;25),"轻度拥堵",AND(G22&gt;=15,G22&lt;20),"中度拥堵",AND(G22&gt;=0,G22&lt;15),"严重拥堵"),F22&lt;40,_xlfn.IFS(G22&gt;=25,"畅通",AND(G22&gt;=20,G22&lt;25),"轻度拥堵",AND(G22&gt;=10,G22&lt;20),"中度拥堵",AND(G22&gt;=0,G22&lt;10),"严重拥堵"),F22=50,_xlfn.IFS(G22&gt;=30,"畅通",AND(G22&gt;=25,G22&lt;30),"轻度拥堵",AND(G22&gt;=15,G22&lt;25),"中度拥堵",AND(G22&gt;=0,G22&lt;15),"严重拥堵"),F22=60,_xlfn.IFS(G22&gt;=35,"畅通",AND(G22&gt;=30,G22&lt;35),"轻度拥堵",AND(G22&gt;=20,G22&lt;30),"中度拥堵",AND(G22&gt;=0,G22&lt;20),"严重拥堵"),F22=70,_xlfn.IFS(G22&gt;=40,"畅通",AND(G22&gt;=30,G22&lt;40),"轻度拥堵",AND(G22&gt;=20,G22&lt;30),"中度拥堵",AND(G22&gt;=0,G22&lt;20),"严重拥堵"),F22=80,_xlfn.IFS(G22&gt;=45,"畅通",AND(G22&gt;=30,G22&lt;45),"轻度拥堵",AND(G22&gt;=20,G22&lt;30),"中度拥堵",AND(G22&gt;=0,G22&lt;20),"严重拥堵")),_xlfn.IFS(F22&lt;60,_xlfn.IFS(G22&gt;=40,"畅通",AND(G22&gt;=30,G22&lt;40),"轻度拥堵",AND(G22&gt;=20,G22&lt;30),"中度拥堵",AND(G22&gt;=0,G22&lt;20),"严重拥堵"),F22=60,_xlfn.IFS(G22&gt;=40,"畅通",AND(G22&gt;=30,G22&lt;40),"轻度拥堵",AND(G22&gt;=20,G22&lt;30),"中度拥堵",AND(G22&gt;=0,G22&lt;20),"严重拥堵"),F22=70,_xlfn.IFS(G22&gt;=45,"畅通",AND(G22&gt;=30,G22&lt;45),"轻度拥堵",AND(G22&gt;=20,G22&lt;30),"中度拥堵",AND(G22&gt;=0,G22&lt;20),"严重拥堵"),F22=80,_xlfn.IFS(G22&gt;=50,"畅通",AND(G22&gt;=35,G22&lt;50),"轻度拥堵",AND(G22&gt;=20,G22&lt;35),"中度拥堵",AND(G22&gt;=0,G22&lt;20),"严重拥堵"),F22=90,_xlfn.IFS(G22&gt;=55,"畅通",AND(G22&gt;=35,G22&lt;55),"轻度拥堵",AND(G22&gt;=20,G22&lt;35),"中度拥堵",AND(G22&gt;=0,G22&lt;20),"严重拥堵"),F22=100,_xlfn.IFS(G22&gt;=60,"畅通",AND(G22&gt;=40,G22&lt;60),"轻度拥堵",AND(G22&gt;=20,G22&lt;40),"中度拥堵",AND(G22&gt;=0,G22&lt;20),"严重拥堵"),F22=110,_xlfn.IFS(G22&gt;=65,"畅通",AND(G22&gt;=45,G22&lt;65),"轻度拥堵",AND(G22&gt;=25,G22&lt;45),"中度拥堵",AND(G22&gt;=0,G22&lt;25),"严重拥堵"),F22=120,_xlfn.IFS(G22&gt;=70,"畅通",AND(G22&gt;=50,G22&lt;70),"轻度拥堵",AND(G22&gt;=30,G22&lt;50),"中度拥堵",AND(G22&gt;=0,G22&lt;30),"严重拥堵")))</f>
        <v>轻度拥堵</v>
      </c>
      <c r="P22">
        <v>60</v>
      </c>
      <c r="Q22">
        <v>60</v>
      </c>
      <c r="R22" t="s">
        <v>9</v>
      </c>
      <c r="S22" t="s">
        <v>6</v>
      </c>
    </row>
    <row r="23" spans="1:19" x14ac:dyDescent="0.2">
      <c r="A23">
        <v>22</v>
      </c>
      <c r="B23" t="str" cm="1">
        <f t="array" aca="1" ref="B23" ca="1">INDIRECT("r"&amp;RANDBETWEEN(22,23))</f>
        <v>公路</v>
      </c>
      <c r="C23">
        <f t="shared" ca="1" si="8"/>
        <v>424</v>
      </c>
      <c r="D23">
        <f t="shared" ca="1" si="9"/>
        <v>3.4</v>
      </c>
      <c r="E23">
        <f t="shared" ca="1" si="6"/>
        <v>23.25</v>
      </c>
      <c r="F23" cm="1">
        <f t="array" aca="1" ref="F23" ca="1">INDIRECT("p"&amp;RANDBETWEEN(20,39))</f>
        <v>80</v>
      </c>
      <c r="G23">
        <f t="shared" ca="1" si="7"/>
        <v>62</v>
      </c>
      <c r="H23" t="str" cm="1">
        <f t="array" aca="1" ref="H23" ca="1">IF(OR(B23="主干路",B23="次干路"),_xlfn.IFS(F23=40,_xlfn.IFS(G23&gt;=25,"畅通",AND(G23&gt;=20,G23&lt;25),"轻度拥堵",AND(G23&gt;=15,G23&lt;20),"中度拥堵",AND(G23&gt;=0,G23&lt;15),"严重拥堵"),F23&lt;40,_xlfn.IFS(G23&gt;=25,"畅通",AND(G23&gt;=20,G23&lt;25),"轻度拥堵",AND(G23&gt;=10,G23&lt;20),"中度拥堵",AND(G23&gt;=0,G23&lt;10),"严重拥堵"),F23=50,_xlfn.IFS(G23&gt;=30,"畅通",AND(G23&gt;=25,G23&lt;30),"轻度拥堵",AND(G23&gt;=15,G23&lt;25),"中度拥堵",AND(G23&gt;=0,G23&lt;15),"严重拥堵"),F23=60,_xlfn.IFS(G23&gt;=35,"畅通",AND(G23&gt;=30,G23&lt;35),"轻度拥堵",AND(G23&gt;=20,G23&lt;30),"中度拥堵",AND(G23&gt;=0,G23&lt;20),"严重拥堵"),F23=70,_xlfn.IFS(G23&gt;=40,"畅通",AND(G23&gt;=30,G23&lt;40),"轻度拥堵",AND(G23&gt;=20,G23&lt;30),"中度拥堵",AND(G23&gt;=0,G23&lt;20),"严重拥堵"),F23=80,_xlfn.IFS(G23&gt;=45,"畅通",AND(G23&gt;=30,G23&lt;45),"轻度拥堵",AND(G23&gt;=20,G23&lt;30),"中度拥堵",AND(G23&gt;=0,G23&lt;20),"严重拥堵")),_xlfn.IFS(F23&lt;60,_xlfn.IFS(G23&gt;=40,"畅通",AND(G23&gt;=30,G23&lt;40),"轻度拥堵",AND(G23&gt;=20,G23&lt;30),"中度拥堵",AND(G23&gt;=0,G23&lt;20),"严重拥堵"),F23=60,_xlfn.IFS(G23&gt;=40,"畅通",AND(G23&gt;=30,G23&lt;40),"轻度拥堵",AND(G23&gt;=20,G23&lt;30),"中度拥堵",AND(G23&gt;=0,G23&lt;20),"严重拥堵"),F23=70,_xlfn.IFS(G23&gt;=45,"畅通",AND(G23&gt;=30,G23&lt;45),"轻度拥堵",AND(G23&gt;=20,G23&lt;30),"中度拥堵",AND(G23&gt;=0,G23&lt;20),"严重拥堵"),F23=80,_xlfn.IFS(G23&gt;=50,"畅通",AND(G23&gt;=35,G23&lt;50),"轻度拥堵",AND(G23&gt;=20,G23&lt;35),"中度拥堵",AND(G23&gt;=0,G23&lt;20),"严重拥堵"),F23=90,_xlfn.IFS(G23&gt;=55,"畅通",AND(G23&gt;=35,G23&lt;55),"轻度拥堵",AND(G23&gt;=20,G23&lt;35),"中度拥堵",AND(G23&gt;=0,G23&lt;20),"严重拥堵"),F23=100,_xlfn.IFS(G23&gt;=60,"畅通",AND(G23&gt;=40,G23&lt;60),"轻度拥堵",AND(G23&gt;=20,G23&lt;40),"中度拥堵",AND(G23&gt;=0,G23&lt;20),"严重拥堵"),F23=110,_xlfn.IFS(G23&gt;=65,"畅通",AND(G23&gt;=45,G23&lt;65),"轻度拥堵",AND(G23&gt;=25,G23&lt;45),"中度拥堵",AND(G23&gt;=0,G23&lt;25),"严重拥堵"),F23=120,_xlfn.IFS(G23&gt;=70,"畅通",AND(G23&gt;=50,G23&lt;70),"轻度拥堵",AND(G23&gt;=30,G23&lt;50),"中度拥堵",AND(G23&gt;=0,G23&lt;30),"严重拥堵")))</f>
        <v>畅通</v>
      </c>
      <c r="P23">
        <v>60</v>
      </c>
      <c r="Q23">
        <v>60</v>
      </c>
      <c r="R23" t="s">
        <v>10</v>
      </c>
      <c r="S23" t="s">
        <v>8</v>
      </c>
    </row>
    <row r="24" spans="1:19" x14ac:dyDescent="0.2">
      <c r="A24">
        <v>23</v>
      </c>
      <c r="B24" t="str" cm="1">
        <f t="array" aca="1" ref="B24" ca="1">INDIRECT("r"&amp;RANDBETWEEN(22,23))</f>
        <v>城市快速路</v>
      </c>
      <c r="C24">
        <f t="shared" ca="1" si="8"/>
        <v>285</v>
      </c>
      <c r="D24">
        <f t="shared" ca="1" si="9"/>
        <v>2.1</v>
      </c>
      <c r="E24">
        <f t="shared" ca="1" si="6"/>
        <v>17.600000000000001</v>
      </c>
      <c r="F24" cm="1">
        <f t="array" aca="1" ref="F24" ca="1">INDIRECT("p"&amp;RANDBETWEEN(20,39))</f>
        <v>60</v>
      </c>
      <c r="G24">
        <f t="shared" ca="1" si="7"/>
        <v>34</v>
      </c>
      <c r="H24" t="str" cm="1">
        <f t="array" aca="1" ref="H24" ca="1">IF(OR(B24="主干路",B24="次干路"),_xlfn.IFS(F24=40,_xlfn.IFS(G24&gt;=25,"畅通",AND(G24&gt;=20,G24&lt;25),"轻度拥堵",AND(G24&gt;=15,G24&lt;20),"中度拥堵",AND(G24&gt;=0,G24&lt;15),"严重拥堵"),F24&lt;40,_xlfn.IFS(G24&gt;=25,"畅通",AND(G24&gt;=20,G24&lt;25),"轻度拥堵",AND(G24&gt;=10,G24&lt;20),"中度拥堵",AND(G24&gt;=0,G24&lt;10),"严重拥堵"),F24=50,_xlfn.IFS(G24&gt;=30,"畅通",AND(G24&gt;=25,G24&lt;30),"轻度拥堵",AND(G24&gt;=15,G24&lt;25),"中度拥堵",AND(G24&gt;=0,G24&lt;15),"严重拥堵"),F24=60,_xlfn.IFS(G24&gt;=35,"畅通",AND(G24&gt;=30,G24&lt;35),"轻度拥堵",AND(G24&gt;=20,G24&lt;30),"中度拥堵",AND(G24&gt;=0,G24&lt;20),"严重拥堵"),F24=70,_xlfn.IFS(G24&gt;=40,"畅通",AND(G24&gt;=30,G24&lt;40),"轻度拥堵",AND(G24&gt;=20,G24&lt;30),"中度拥堵",AND(G24&gt;=0,G24&lt;20),"严重拥堵"),F24=80,_xlfn.IFS(G24&gt;=45,"畅通",AND(G24&gt;=30,G24&lt;45),"轻度拥堵",AND(G24&gt;=20,G24&lt;30),"中度拥堵",AND(G24&gt;=0,G24&lt;20),"严重拥堵")),_xlfn.IFS(F24&lt;60,_xlfn.IFS(G24&gt;=40,"畅通",AND(G24&gt;=30,G24&lt;40),"轻度拥堵",AND(G24&gt;=20,G24&lt;30),"中度拥堵",AND(G24&gt;=0,G24&lt;20),"严重拥堵"),F24=60,_xlfn.IFS(G24&gt;=40,"畅通",AND(G24&gt;=30,G24&lt;40),"轻度拥堵",AND(G24&gt;=20,G24&lt;30),"中度拥堵",AND(G24&gt;=0,G24&lt;20),"严重拥堵"),F24=70,_xlfn.IFS(G24&gt;=45,"畅通",AND(G24&gt;=30,G24&lt;45),"轻度拥堵",AND(G24&gt;=20,G24&lt;30),"中度拥堵",AND(G24&gt;=0,G24&lt;20),"严重拥堵"),F24=80,_xlfn.IFS(G24&gt;=50,"畅通",AND(G24&gt;=35,G24&lt;50),"轻度拥堵",AND(G24&gt;=20,G24&lt;35),"中度拥堵",AND(G24&gt;=0,G24&lt;20),"严重拥堵"),F24=90,_xlfn.IFS(G24&gt;=55,"畅通",AND(G24&gt;=35,G24&lt;55),"轻度拥堵",AND(G24&gt;=20,G24&lt;35),"中度拥堵",AND(G24&gt;=0,G24&lt;20),"严重拥堵"),F24=100,_xlfn.IFS(G24&gt;=60,"畅通",AND(G24&gt;=40,G24&lt;60),"轻度拥堵",AND(G24&gt;=20,G24&lt;40),"中度拥堵",AND(G24&gt;=0,G24&lt;20),"严重拥堵"),F24=110,_xlfn.IFS(G24&gt;=65,"畅通",AND(G24&gt;=45,G24&lt;65),"轻度拥堵",AND(G24&gt;=25,G24&lt;45),"中度拥堵",AND(G24&gt;=0,G24&lt;25),"严重拥堵"),F24=120,_xlfn.IFS(G24&gt;=70,"畅通",AND(G24&gt;=50,G24&lt;70),"轻度拥堵",AND(G24&gt;=30,G24&lt;50),"中度拥堵",AND(G24&gt;=0,G24&lt;30),"严重拥堵")))</f>
        <v>轻度拥堵</v>
      </c>
      <c r="P24">
        <v>60</v>
      </c>
      <c r="Q24">
        <v>60</v>
      </c>
    </row>
    <row r="25" spans="1:19" x14ac:dyDescent="0.2">
      <c r="A25">
        <v>24</v>
      </c>
      <c r="B25" t="str" cm="1">
        <f t="array" aca="1" ref="B25" ca="1">INDIRECT("r"&amp;RANDBETWEEN(22,23))</f>
        <v>城市快速路</v>
      </c>
      <c r="C25">
        <f t="shared" ca="1" si="8"/>
        <v>375</v>
      </c>
      <c r="D25">
        <f t="shared" ca="1" si="9"/>
        <v>2.2999999999999998</v>
      </c>
      <c r="E25">
        <f t="shared" ca="1" si="6"/>
        <v>10.92</v>
      </c>
      <c r="F25" cm="1">
        <f t="array" aca="1" ref="F25" ca="1">INDIRECT("p"&amp;RANDBETWEEN(20,39))</f>
        <v>80</v>
      </c>
      <c r="G25">
        <f t="shared" ca="1" si="7"/>
        <v>79</v>
      </c>
      <c r="H25" t="str" cm="1">
        <f t="array" aca="1" ref="H25" ca="1">IF(OR(B25="主干路",B25="次干路"),_xlfn.IFS(F25=40,_xlfn.IFS(G25&gt;=25,"畅通",AND(G25&gt;=20,G25&lt;25),"轻度拥堵",AND(G25&gt;=15,G25&lt;20),"中度拥堵",AND(G25&gt;=0,G25&lt;15),"严重拥堵"),F25&lt;40,_xlfn.IFS(G25&gt;=25,"畅通",AND(G25&gt;=20,G25&lt;25),"轻度拥堵",AND(G25&gt;=10,G25&lt;20),"中度拥堵",AND(G25&gt;=0,G25&lt;10),"严重拥堵"),F25=50,_xlfn.IFS(G25&gt;=30,"畅通",AND(G25&gt;=25,G25&lt;30),"轻度拥堵",AND(G25&gt;=15,G25&lt;25),"中度拥堵",AND(G25&gt;=0,G25&lt;15),"严重拥堵"),F25=60,_xlfn.IFS(G25&gt;=35,"畅通",AND(G25&gt;=30,G25&lt;35),"轻度拥堵",AND(G25&gt;=20,G25&lt;30),"中度拥堵",AND(G25&gt;=0,G25&lt;20),"严重拥堵"),F25=70,_xlfn.IFS(G25&gt;=40,"畅通",AND(G25&gt;=30,G25&lt;40),"轻度拥堵",AND(G25&gt;=20,G25&lt;30),"中度拥堵",AND(G25&gt;=0,G25&lt;20),"严重拥堵"),F25=80,_xlfn.IFS(G25&gt;=45,"畅通",AND(G25&gt;=30,G25&lt;45),"轻度拥堵",AND(G25&gt;=20,G25&lt;30),"中度拥堵",AND(G25&gt;=0,G25&lt;20),"严重拥堵")),_xlfn.IFS(F25&lt;60,_xlfn.IFS(G25&gt;=40,"畅通",AND(G25&gt;=30,G25&lt;40),"轻度拥堵",AND(G25&gt;=20,G25&lt;30),"中度拥堵",AND(G25&gt;=0,G25&lt;20),"严重拥堵"),F25=60,_xlfn.IFS(G25&gt;=40,"畅通",AND(G25&gt;=30,G25&lt;40),"轻度拥堵",AND(G25&gt;=20,G25&lt;30),"中度拥堵",AND(G25&gt;=0,G25&lt;20),"严重拥堵"),F25=70,_xlfn.IFS(G25&gt;=45,"畅通",AND(G25&gt;=30,G25&lt;45),"轻度拥堵",AND(G25&gt;=20,G25&lt;30),"中度拥堵",AND(G25&gt;=0,G25&lt;20),"严重拥堵"),F25=80,_xlfn.IFS(G25&gt;=50,"畅通",AND(G25&gt;=35,G25&lt;50),"轻度拥堵",AND(G25&gt;=20,G25&lt;35),"中度拥堵",AND(G25&gt;=0,G25&lt;20),"严重拥堵"),F25=90,_xlfn.IFS(G25&gt;=55,"畅通",AND(G25&gt;=35,G25&lt;55),"轻度拥堵",AND(G25&gt;=20,G25&lt;35),"中度拥堵",AND(G25&gt;=0,G25&lt;20),"严重拥堵"),F25=100,_xlfn.IFS(G25&gt;=60,"畅通",AND(G25&gt;=40,G25&lt;60),"轻度拥堵",AND(G25&gt;=20,G25&lt;40),"中度拥堵",AND(G25&gt;=0,G25&lt;20),"严重拥堵"),F25=110,_xlfn.IFS(G25&gt;=65,"畅通",AND(G25&gt;=45,G25&lt;65),"轻度拥堵",AND(G25&gt;=25,G25&lt;45),"中度拥堵",AND(G25&gt;=0,G25&lt;25),"严重拥堵"),F25=120,_xlfn.IFS(G25&gt;=70,"畅通",AND(G25&gt;=50,G25&lt;70),"轻度拥堵",AND(G25&gt;=30,G25&lt;50),"中度拥堵",AND(G25&gt;=0,G25&lt;30),"严重拥堵")))</f>
        <v>畅通</v>
      </c>
      <c r="P25">
        <v>70</v>
      </c>
      <c r="Q25">
        <v>60</v>
      </c>
    </row>
    <row r="26" spans="1:19" x14ac:dyDescent="0.2">
      <c r="A26">
        <v>25</v>
      </c>
      <c r="B26" t="str" cm="1">
        <f t="array" aca="1" ref="B26" ca="1">INDIRECT("r"&amp;RANDBETWEEN(22,23))</f>
        <v>城市快速路</v>
      </c>
      <c r="C26">
        <f t="shared" ca="1" si="8"/>
        <v>381</v>
      </c>
      <c r="D26">
        <f t="shared" ca="1" si="9"/>
        <v>3.7</v>
      </c>
      <c r="E26">
        <f t="shared" ca="1" si="6"/>
        <v>58.74</v>
      </c>
      <c r="F26" cm="1">
        <f t="array" aca="1" ref="F26" ca="1">INDIRECT("p"&amp;RANDBETWEEN(20,39))</f>
        <v>80</v>
      </c>
      <c r="G26">
        <f t="shared" ca="1" si="7"/>
        <v>24</v>
      </c>
      <c r="H26" t="str" cm="1">
        <f t="array" aca="1" ref="H26" ca="1">IF(OR(B26="主干路",B26="次干路"),_xlfn.IFS(F26=40,_xlfn.IFS(G26&gt;=25,"畅通",AND(G26&gt;=20,G26&lt;25),"轻度拥堵",AND(G26&gt;=15,G26&lt;20),"中度拥堵",AND(G26&gt;=0,G26&lt;15),"严重拥堵"),F26&lt;40,_xlfn.IFS(G26&gt;=25,"畅通",AND(G26&gt;=20,G26&lt;25),"轻度拥堵",AND(G26&gt;=10,G26&lt;20),"中度拥堵",AND(G26&gt;=0,G26&lt;10),"严重拥堵"),F26=50,_xlfn.IFS(G26&gt;=30,"畅通",AND(G26&gt;=25,G26&lt;30),"轻度拥堵",AND(G26&gt;=15,G26&lt;25),"中度拥堵",AND(G26&gt;=0,G26&lt;15),"严重拥堵"),F26=60,_xlfn.IFS(G26&gt;=35,"畅通",AND(G26&gt;=30,G26&lt;35),"轻度拥堵",AND(G26&gt;=20,G26&lt;30),"中度拥堵",AND(G26&gt;=0,G26&lt;20),"严重拥堵"),F26=70,_xlfn.IFS(G26&gt;=40,"畅通",AND(G26&gt;=30,G26&lt;40),"轻度拥堵",AND(G26&gt;=20,G26&lt;30),"中度拥堵",AND(G26&gt;=0,G26&lt;20),"严重拥堵"),F26=80,_xlfn.IFS(G26&gt;=45,"畅通",AND(G26&gt;=30,G26&lt;45),"轻度拥堵",AND(G26&gt;=20,G26&lt;30),"中度拥堵",AND(G26&gt;=0,G26&lt;20),"严重拥堵")),_xlfn.IFS(F26&lt;60,_xlfn.IFS(G26&gt;=40,"畅通",AND(G26&gt;=30,G26&lt;40),"轻度拥堵",AND(G26&gt;=20,G26&lt;30),"中度拥堵",AND(G26&gt;=0,G26&lt;20),"严重拥堵"),F26=60,_xlfn.IFS(G26&gt;=40,"畅通",AND(G26&gt;=30,G26&lt;40),"轻度拥堵",AND(G26&gt;=20,G26&lt;30),"中度拥堵",AND(G26&gt;=0,G26&lt;20),"严重拥堵"),F26=70,_xlfn.IFS(G26&gt;=45,"畅通",AND(G26&gt;=30,G26&lt;45),"轻度拥堵",AND(G26&gt;=20,G26&lt;30),"中度拥堵",AND(G26&gt;=0,G26&lt;20),"严重拥堵"),F26=80,_xlfn.IFS(G26&gt;=50,"畅通",AND(G26&gt;=35,G26&lt;50),"轻度拥堵",AND(G26&gt;=20,G26&lt;35),"中度拥堵",AND(G26&gt;=0,G26&lt;20),"严重拥堵"),F26=90,_xlfn.IFS(G26&gt;=55,"畅通",AND(G26&gt;=35,G26&lt;55),"轻度拥堵",AND(G26&gt;=20,G26&lt;35),"中度拥堵",AND(G26&gt;=0,G26&lt;20),"严重拥堵"),F26=100,_xlfn.IFS(G26&gt;=60,"畅通",AND(G26&gt;=40,G26&lt;60),"轻度拥堵",AND(G26&gt;=20,G26&lt;40),"中度拥堵",AND(G26&gt;=0,G26&lt;20),"严重拥堵"),F26=110,_xlfn.IFS(G26&gt;=65,"畅通",AND(G26&gt;=45,G26&lt;65),"轻度拥堵",AND(G26&gt;=25,G26&lt;45),"中度拥堵",AND(G26&gt;=0,G26&lt;25),"严重拥堵"),F26=120,_xlfn.IFS(G26&gt;=70,"畅通",AND(G26&gt;=50,G26&lt;70),"轻度拥堵",AND(G26&gt;=30,G26&lt;50),"中度拥堵",AND(G26&gt;=0,G26&lt;30),"严重拥堵")))</f>
        <v>中度拥堵</v>
      </c>
      <c r="P26">
        <v>70</v>
      </c>
      <c r="Q26">
        <v>60</v>
      </c>
    </row>
    <row r="27" spans="1:19" x14ac:dyDescent="0.2">
      <c r="A27">
        <v>26</v>
      </c>
      <c r="B27" t="str" cm="1">
        <f t="array" aca="1" ref="B27" ca="1">INDIRECT("r"&amp;RANDBETWEEN(22,23))</f>
        <v>城市快速路</v>
      </c>
      <c r="C27">
        <f t="shared" ca="1" si="8"/>
        <v>339</v>
      </c>
      <c r="D27">
        <f t="shared" ca="1" si="9"/>
        <v>4.2</v>
      </c>
      <c r="E27">
        <f t="shared" ca="1" si="6"/>
        <v>32.36</v>
      </c>
      <c r="F27" cm="1">
        <f t="array" aca="1" ref="F27" ca="1">INDIRECT("p"&amp;RANDBETWEEN(20,39))</f>
        <v>70</v>
      </c>
      <c r="G27">
        <f t="shared" ca="1" si="7"/>
        <v>44</v>
      </c>
      <c r="H27" t="str" cm="1">
        <f t="array" aca="1" ref="H27" ca="1">IF(OR(B27="主干路",B27="次干路"),_xlfn.IFS(F27=40,_xlfn.IFS(G27&gt;=25,"畅通",AND(G27&gt;=20,G27&lt;25),"轻度拥堵",AND(G27&gt;=15,G27&lt;20),"中度拥堵",AND(G27&gt;=0,G27&lt;15),"严重拥堵"),F27&lt;40,_xlfn.IFS(G27&gt;=25,"畅通",AND(G27&gt;=20,G27&lt;25),"轻度拥堵",AND(G27&gt;=10,G27&lt;20),"中度拥堵",AND(G27&gt;=0,G27&lt;10),"严重拥堵"),F27=50,_xlfn.IFS(G27&gt;=30,"畅通",AND(G27&gt;=25,G27&lt;30),"轻度拥堵",AND(G27&gt;=15,G27&lt;25),"中度拥堵",AND(G27&gt;=0,G27&lt;15),"严重拥堵"),F27=60,_xlfn.IFS(G27&gt;=35,"畅通",AND(G27&gt;=30,G27&lt;35),"轻度拥堵",AND(G27&gt;=20,G27&lt;30),"中度拥堵",AND(G27&gt;=0,G27&lt;20),"严重拥堵"),F27=70,_xlfn.IFS(G27&gt;=40,"畅通",AND(G27&gt;=30,G27&lt;40),"轻度拥堵",AND(G27&gt;=20,G27&lt;30),"中度拥堵",AND(G27&gt;=0,G27&lt;20),"严重拥堵"),F27=80,_xlfn.IFS(G27&gt;=45,"畅通",AND(G27&gt;=30,G27&lt;45),"轻度拥堵",AND(G27&gt;=20,G27&lt;30),"中度拥堵",AND(G27&gt;=0,G27&lt;20),"严重拥堵")),_xlfn.IFS(F27&lt;60,_xlfn.IFS(G27&gt;=40,"畅通",AND(G27&gt;=30,G27&lt;40),"轻度拥堵",AND(G27&gt;=20,G27&lt;30),"中度拥堵",AND(G27&gt;=0,G27&lt;20),"严重拥堵"),F27=60,_xlfn.IFS(G27&gt;=40,"畅通",AND(G27&gt;=30,G27&lt;40),"轻度拥堵",AND(G27&gt;=20,G27&lt;30),"中度拥堵",AND(G27&gt;=0,G27&lt;20),"严重拥堵"),F27=70,_xlfn.IFS(G27&gt;=45,"畅通",AND(G27&gt;=30,G27&lt;45),"轻度拥堵",AND(G27&gt;=20,G27&lt;30),"中度拥堵",AND(G27&gt;=0,G27&lt;20),"严重拥堵"),F27=80,_xlfn.IFS(G27&gt;=50,"畅通",AND(G27&gt;=35,G27&lt;50),"轻度拥堵",AND(G27&gt;=20,G27&lt;35),"中度拥堵",AND(G27&gt;=0,G27&lt;20),"严重拥堵"),F27=90,_xlfn.IFS(G27&gt;=55,"畅通",AND(G27&gt;=35,G27&lt;55),"轻度拥堵",AND(G27&gt;=20,G27&lt;35),"中度拥堵",AND(G27&gt;=0,G27&lt;20),"严重拥堵"),F27=100,_xlfn.IFS(G27&gt;=60,"畅通",AND(G27&gt;=40,G27&lt;60),"轻度拥堵",AND(G27&gt;=20,G27&lt;40),"中度拥堵",AND(G27&gt;=0,G27&lt;20),"严重拥堵"),F27=110,_xlfn.IFS(G27&gt;=65,"畅通",AND(G27&gt;=45,G27&lt;65),"轻度拥堵",AND(G27&gt;=25,G27&lt;45),"中度拥堵",AND(G27&gt;=0,G27&lt;25),"严重拥堵"),F27=120,_xlfn.IFS(G27&gt;=70,"畅通",AND(G27&gt;=50,G27&lt;70),"轻度拥堵",AND(G27&gt;=30,G27&lt;50),"中度拥堵",AND(G27&gt;=0,G27&lt;30),"严重拥堵")))</f>
        <v>轻度拥堵</v>
      </c>
      <c r="P27">
        <v>80</v>
      </c>
      <c r="Q27">
        <v>60</v>
      </c>
    </row>
    <row r="28" spans="1:19" x14ac:dyDescent="0.2">
      <c r="A28">
        <v>27</v>
      </c>
      <c r="B28" t="str" cm="1">
        <f t="array" aca="1" ref="B28" ca="1">INDIRECT("r"&amp;RANDBETWEEN(22,23))</f>
        <v>城市快速路</v>
      </c>
      <c r="C28">
        <f t="shared" ca="1" si="8"/>
        <v>273</v>
      </c>
      <c r="D28">
        <f t="shared" ca="1" si="9"/>
        <v>3.9</v>
      </c>
      <c r="E28">
        <f t="shared" ca="1" si="6"/>
        <v>30.42</v>
      </c>
      <c r="F28" cm="1">
        <f t="array" aca="1" ref="F28" ca="1">INDIRECT("p"&amp;RANDBETWEEN(20,39))</f>
        <v>40</v>
      </c>
      <c r="G28">
        <f t="shared" ca="1" si="7"/>
        <v>35</v>
      </c>
      <c r="H28" t="str" cm="1">
        <f t="array" aca="1" ref="H28" ca="1">IF(OR(B28="主干路",B28="次干路"),_xlfn.IFS(F28=40,_xlfn.IFS(G28&gt;=25,"畅通",AND(G28&gt;=20,G28&lt;25),"轻度拥堵",AND(G28&gt;=15,G28&lt;20),"中度拥堵",AND(G28&gt;=0,G28&lt;15),"严重拥堵"),F28&lt;40,_xlfn.IFS(G28&gt;=25,"畅通",AND(G28&gt;=20,G28&lt;25),"轻度拥堵",AND(G28&gt;=10,G28&lt;20),"中度拥堵",AND(G28&gt;=0,G28&lt;10),"严重拥堵"),F28=50,_xlfn.IFS(G28&gt;=30,"畅通",AND(G28&gt;=25,G28&lt;30),"轻度拥堵",AND(G28&gt;=15,G28&lt;25),"中度拥堵",AND(G28&gt;=0,G28&lt;15),"严重拥堵"),F28=60,_xlfn.IFS(G28&gt;=35,"畅通",AND(G28&gt;=30,G28&lt;35),"轻度拥堵",AND(G28&gt;=20,G28&lt;30),"中度拥堵",AND(G28&gt;=0,G28&lt;20),"严重拥堵"),F28=70,_xlfn.IFS(G28&gt;=40,"畅通",AND(G28&gt;=30,G28&lt;40),"轻度拥堵",AND(G28&gt;=20,G28&lt;30),"中度拥堵",AND(G28&gt;=0,G28&lt;20),"严重拥堵"),F28=80,_xlfn.IFS(G28&gt;=45,"畅通",AND(G28&gt;=30,G28&lt;45),"轻度拥堵",AND(G28&gt;=20,G28&lt;30),"中度拥堵",AND(G28&gt;=0,G28&lt;20),"严重拥堵")),_xlfn.IFS(F28&lt;60,_xlfn.IFS(G28&gt;=40,"畅通",AND(G28&gt;=30,G28&lt;40),"轻度拥堵",AND(G28&gt;=20,G28&lt;30),"中度拥堵",AND(G28&gt;=0,G28&lt;20),"严重拥堵"),F28=60,_xlfn.IFS(G28&gt;=40,"畅通",AND(G28&gt;=30,G28&lt;40),"轻度拥堵",AND(G28&gt;=20,G28&lt;30),"中度拥堵",AND(G28&gt;=0,G28&lt;20),"严重拥堵"),F28=70,_xlfn.IFS(G28&gt;=45,"畅通",AND(G28&gt;=30,G28&lt;45),"轻度拥堵",AND(G28&gt;=20,G28&lt;30),"中度拥堵",AND(G28&gt;=0,G28&lt;20),"严重拥堵"),F28=80,_xlfn.IFS(G28&gt;=50,"畅通",AND(G28&gt;=35,G28&lt;50),"轻度拥堵",AND(G28&gt;=20,G28&lt;35),"中度拥堵",AND(G28&gt;=0,G28&lt;20),"严重拥堵"),F28=90,_xlfn.IFS(G28&gt;=55,"畅通",AND(G28&gt;=35,G28&lt;55),"轻度拥堵",AND(G28&gt;=20,G28&lt;35),"中度拥堵",AND(G28&gt;=0,G28&lt;20),"严重拥堵"),F28=100,_xlfn.IFS(G28&gt;=60,"畅通",AND(G28&gt;=40,G28&lt;60),"轻度拥堵",AND(G28&gt;=20,G28&lt;40),"中度拥堵",AND(G28&gt;=0,G28&lt;20),"严重拥堵"),F28=110,_xlfn.IFS(G28&gt;=65,"畅通",AND(G28&gt;=45,G28&lt;65),"轻度拥堵",AND(G28&gt;=25,G28&lt;45),"中度拥堵",AND(G28&gt;=0,G28&lt;25),"严重拥堵"),F28=120,_xlfn.IFS(G28&gt;=70,"畅通",AND(G28&gt;=50,G28&lt;70),"轻度拥堵",AND(G28&gt;=30,G28&lt;50),"中度拥堵",AND(G28&gt;=0,G28&lt;30),"严重拥堵")))</f>
        <v>轻度拥堵</v>
      </c>
      <c r="P28">
        <v>80</v>
      </c>
      <c r="Q28">
        <v>60</v>
      </c>
    </row>
    <row r="29" spans="1:19" x14ac:dyDescent="0.2">
      <c r="A29">
        <v>28</v>
      </c>
      <c r="B29" t="str" cm="1">
        <f t="array" aca="1" ref="B29" ca="1">INDIRECT("r"&amp;RANDBETWEEN(22,23))</f>
        <v>公路</v>
      </c>
      <c r="C29">
        <f t="shared" ca="1" si="8"/>
        <v>321</v>
      </c>
      <c r="D29">
        <f t="shared" ca="1" si="9"/>
        <v>2.2999999999999998</v>
      </c>
      <c r="E29">
        <f t="shared" ca="1" si="6"/>
        <v>13.93</v>
      </c>
      <c r="F29" cm="1">
        <f t="array" aca="1" ref="F29" ca="1">INDIRECT("p"&amp;RANDBETWEEN(20,39))</f>
        <v>100</v>
      </c>
      <c r="G29">
        <f t="shared" ca="1" si="7"/>
        <v>53</v>
      </c>
      <c r="H29" t="str" cm="1">
        <f t="array" aca="1" ref="H29" ca="1">IF(OR(B29="主干路",B29="次干路"),_xlfn.IFS(F29=40,_xlfn.IFS(G29&gt;=25,"畅通",AND(G29&gt;=20,G29&lt;25),"轻度拥堵",AND(G29&gt;=15,G29&lt;20),"中度拥堵",AND(G29&gt;=0,G29&lt;15),"严重拥堵"),F29&lt;40,_xlfn.IFS(G29&gt;=25,"畅通",AND(G29&gt;=20,G29&lt;25),"轻度拥堵",AND(G29&gt;=10,G29&lt;20),"中度拥堵",AND(G29&gt;=0,G29&lt;10),"严重拥堵"),F29=50,_xlfn.IFS(G29&gt;=30,"畅通",AND(G29&gt;=25,G29&lt;30),"轻度拥堵",AND(G29&gt;=15,G29&lt;25),"中度拥堵",AND(G29&gt;=0,G29&lt;15),"严重拥堵"),F29=60,_xlfn.IFS(G29&gt;=35,"畅通",AND(G29&gt;=30,G29&lt;35),"轻度拥堵",AND(G29&gt;=20,G29&lt;30),"中度拥堵",AND(G29&gt;=0,G29&lt;20),"严重拥堵"),F29=70,_xlfn.IFS(G29&gt;=40,"畅通",AND(G29&gt;=30,G29&lt;40),"轻度拥堵",AND(G29&gt;=20,G29&lt;30),"中度拥堵",AND(G29&gt;=0,G29&lt;20),"严重拥堵"),F29=80,_xlfn.IFS(G29&gt;=45,"畅通",AND(G29&gt;=30,G29&lt;45),"轻度拥堵",AND(G29&gt;=20,G29&lt;30),"中度拥堵",AND(G29&gt;=0,G29&lt;20),"严重拥堵")),_xlfn.IFS(F29&lt;60,_xlfn.IFS(G29&gt;=40,"畅通",AND(G29&gt;=30,G29&lt;40),"轻度拥堵",AND(G29&gt;=20,G29&lt;30),"中度拥堵",AND(G29&gt;=0,G29&lt;20),"严重拥堵"),F29=60,_xlfn.IFS(G29&gt;=40,"畅通",AND(G29&gt;=30,G29&lt;40),"轻度拥堵",AND(G29&gt;=20,G29&lt;30),"中度拥堵",AND(G29&gt;=0,G29&lt;20),"严重拥堵"),F29=70,_xlfn.IFS(G29&gt;=45,"畅通",AND(G29&gt;=30,G29&lt;45),"轻度拥堵",AND(G29&gt;=20,G29&lt;30),"中度拥堵",AND(G29&gt;=0,G29&lt;20),"严重拥堵"),F29=80,_xlfn.IFS(G29&gt;=50,"畅通",AND(G29&gt;=35,G29&lt;50),"轻度拥堵",AND(G29&gt;=20,G29&lt;35),"中度拥堵",AND(G29&gt;=0,G29&lt;20),"严重拥堵"),F29=90,_xlfn.IFS(G29&gt;=55,"畅通",AND(G29&gt;=35,G29&lt;55),"轻度拥堵",AND(G29&gt;=20,G29&lt;35),"中度拥堵",AND(G29&gt;=0,G29&lt;20),"严重拥堵"),F29=100,_xlfn.IFS(G29&gt;=60,"畅通",AND(G29&gt;=40,G29&lt;60),"轻度拥堵",AND(G29&gt;=20,G29&lt;40),"中度拥堵",AND(G29&gt;=0,G29&lt;20),"严重拥堵"),F29=110,_xlfn.IFS(G29&gt;=65,"畅通",AND(G29&gt;=45,G29&lt;65),"轻度拥堵",AND(G29&gt;=25,G29&lt;45),"中度拥堵",AND(G29&gt;=0,G29&lt;25),"严重拥堵"),F29=120,_xlfn.IFS(G29&gt;=70,"畅通",AND(G29&gt;=50,G29&lt;70),"轻度拥堵",AND(G29&gt;=30,G29&lt;50),"中度拥堵",AND(G29&gt;=0,G29&lt;30),"严重拥堵")))</f>
        <v>轻度拥堵</v>
      </c>
      <c r="P29">
        <v>80</v>
      </c>
      <c r="Q29">
        <v>60</v>
      </c>
    </row>
    <row r="30" spans="1:19" x14ac:dyDescent="0.2">
      <c r="A30">
        <v>29</v>
      </c>
      <c r="B30" t="str" cm="1">
        <f t="array" aca="1" ref="B30" ca="1">INDIRECT("r"&amp;RANDBETWEEN(22,23))</f>
        <v>城市快速路</v>
      </c>
      <c r="C30">
        <f t="shared" ca="1" si="8"/>
        <v>348</v>
      </c>
      <c r="D30">
        <f t="shared" ca="1" si="9"/>
        <v>4.4000000000000004</v>
      </c>
      <c r="E30">
        <f t="shared" ca="1" si="6"/>
        <v>30.62</v>
      </c>
      <c r="F30" cm="1">
        <f t="array" aca="1" ref="F30" ca="1">INDIRECT("p"&amp;RANDBETWEEN(20,39))</f>
        <v>60</v>
      </c>
      <c r="G30">
        <f t="shared" ca="1" si="7"/>
        <v>50</v>
      </c>
      <c r="H30" t="str" cm="1">
        <f t="array" aca="1" ref="H30" ca="1">IF(OR(B30="主干路",B30="次干路"),_xlfn.IFS(F30=40,_xlfn.IFS(G30&gt;=25,"畅通",AND(G30&gt;=20,G30&lt;25),"轻度拥堵",AND(G30&gt;=15,G30&lt;20),"中度拥堵",AND(G30&gt;=0,G30&lt;15),"严重拥堵"),F30&lt;40,_xlfn.IFS(G30&gt;=25,"畅通",AND(G30&gt;=20,G30&lt;25),"轻度拥堵",AND(G30&gt;=10,G30&lt;20),"中度拥堵",AND(G30&gt;=0,G30&lt;10),"严重拥堵"),F30=50,_xlfn.IFS(G30&gt;=30,"畅通",AND(G30&gt;=25,G30&lt;30),"轻度拥堵",AND(G30&gt;=15,G30&lt;25),"中度拥堵",AND(G30&gt;=0,G30&lt;15),"严重拥堵"),F30=60,_xlfn.IFS(G30&gt;=35,"畅通",AND(G30&gt;=30,G30&lt;35),"轻度拥堵",AND(G30&gt;=20,G30&lt;30),"中度拥堵",AND(G30&gt;=0,G30&lt;20),"严重拥堵"),F30=70,_xlfn.IFS(G30&gt;=40,"畅通",AND(G30&gt;=30,G30&lt;40),"轻度拥堵",AND(G30&gt;=20,G30&lt;30),"中度拥堵",AND(G30&gt;=0,G30&lt;20),"严重拥堵"),F30=80,_xlfn.IFS(G30&gt;=45,"畅通",AND(G30&gt;=30,G30&lt;45),"轻度拥堵",AND(G30&gt;=20,G30&lt;30),"中度拥堵",AND(G30&gt;=0,G30&lt;20),"严重拥堵")),_xlfn.IFS(F30&lt;60,_xlfn.IFS(G30&gt;=40,"畅通",AND(G30&gt;=30,G30&lt;40),"轻度拥堵",AND(G30&gt;=20,G30&lt;30),"中度拥堵",AND(G30&gt;=0,G30&lt;20),"严重拥堵"),F30=60,_xlfn.IFS(G30&gt;=40,"畅通",AND(G30&gt;=30,G30&lt;40),"轻度拥堵",AND(G30&gt;=20,G30&lt;30),"中度拥堵",AND(G30&gt;=0,G30&lt;20),"严重拥堵"),F30=70,_xlfn.IFS(G30&gt;=45,"畅通",AND(G30&gt;=30,G30&lt;45),"轻度拥堵",AND(G30&gt;=20,G30&lt;30),"中度拥堵",AND(G30&gt;=0,G30&lt;20),"严重拥堵"),F30=80,_xlfn.IFS(G30&gt;=50,"畅通",AND(G30&gt;=35,G30&lt;50),"轻度拥堵",AND(G30&gt;=20,G30&lt;35),"中度拥堵",AND(G30&gt;=0,G30&lt;20),"严重拥堵"),F30=90,_xlfn.IFS(G30&gt;=55,"畅通",AND(G30&gt;=35,G30&lt;55),"轻度拥堵",AND(G30&gt;=20,G30&lt;35),"中度拥堵",AND(G30&gt;=0,G30&lt;20),"严重拥堵"),F30=100,_xlfn.IFS(G30&gt;=60,"畅通",AND(G30&gt;=40,G30&lt;60),"轻度拥堵",AND(G30&gt;=20,G30&lt;40),"中度拥堵",AND(G30&gt;=0,G30&lt;20),"严重拥堵"),F30=110,_xlfn.IFS(G30&gt;=65,"畅通",AND(G30&gt;=45,G30&lt;65),"轻度拥堵",AND(G30&gt;=25,G30&lt;45),"中度拥堵",AND(G30&gt;=0,G30&lt;25),"严重拥堵"),F30=120,_xlfn.IFS(G30&gt;=70,"畅通",AND(G30&gt;=50,G30&lt;70),"轻度拥堵",AND(G30&gt;=30,G30&lt;50),"中度拥堵",AND(G30&gt;=0,G30&lt;30),"严重拥堵")))</f>
        <v>畅通</v>
      </c>
      <c r="P30">
        <v>80</v>
      </c>
      <c r="Q30">
        <v>60</v>
      </c>
    </row>
    <row r="31" spans="1:19" x14ac:dyDescent="0.2">
      <c r="A31">
        <v>30</v>
      </c>
      <c r="B31" t="str" cm="1">
        <f t="array" aca="1" ref="B31" ca="1">INDIRECT("r"&amp;RANDBETWEEN(22,23))</f>
        <v>城市快速路</v>
      </c>
      <c r="C31">
        <f t="shared" ca="1" si="8"/>
        <v>310</v>
      </c>
      <c r="D31">
        <f t="shared" ca="1" si="9"/>
        <v>2.9</v>
      </c>
      <c r="E31">
        <f t="shared" ca="1" si="6"/>
        <v>35.96</v>
      </c>
      <c r="F31" cm="1">
        <f t="array" aca="1" ref="F31" ca="1">INDIRECT("p"&amp;RANDBETWEEN(20,39))</f>
        <v>90</v>
      </c>
      <c r="G31">
        <f t="shared" ca="1" si="7"/>
        <v>25</v>
      </c>
      <c r="H31" t="str" cm="1">
        <f t="array" aca="1" ref="H31" ca="1">IF(OR(B31="主干路",B31="次干路"),_xlfn.IFS(F31=40,_xlfn.IFS(G31&gt;=25,"畅通",AND(G31&gt;=20,G31&lt;25),"轻度拥堵",AND(G31&gt;=15,G31&lt;20),"中度拥堵",AND(G31&gt;=0,G31&lt;15),"严重拥堵"),F31&lt;40,_xlfn.IFS(G31&gt;=25,"畅通",AND(G31&gt;=20,G31&lt;25),"轻度拥堵",AND(G31&gt;=10,G31&lt;20),"中度拥堵",AND(G31&gt;=0,G31&lt;10),"严重拥堵"),F31=50,_xlfn.IFS(G31&gt;=30,"畅通",AND(G31&gt;=25,G31&lt;30),"轻度拥堵",AND(G31&gt;=15,G31&lt;25),"中度拥堵",AND(G31&gt;=0,G31&lt;15),"严重拥堵"),F31=60,_xlfn.IFS(G31&gt;=35,"畅通",AND(G31&gt;=30,G31&lt;35),"轻度拥堵",AND(G31&gt;=20,G31&lt;30),"中度拥堵",AND(G31&gt;=0,G31&lt;20),"严重拥堵"),F31=70,_xlfn.IFS(G31&gt;=40,"畅通",AND(G31&gt;=30,G31&lt;40),"轻度拥堵",AND(G31&gt;=20,G31&lt;30),"中度拥堵",AND(G31&gt;=0,G31&lt;20),"严重拥堵"),F31=80,_xlfn.IFS(G31&gt;=45,"畅通",AND(G31&gt;=30,G31&lt;45),"轻度拥堵",AND(G31&gt;=20,G31&lt;30),"中度拥堵",AND(G31&gt;=0,G31&lt;20),"严重拥堵")),_xlfn.IFS(F31&lt;60,_xlfn.IFS(G31&gt;=40,"畅通",AND(G31&gt;=30,G31&lt;40),"轻度拥堵",AND(G31&gt;=20,G31&lt;30),"中度拥堵",AND(G31&gt;=0,G31&lt;20),"严重拥堵"),F31=60,_xlfn.IFS(G31&gt;=40,"畅通",AND(G31&gt;=30,G31&lt;40),"轻度拥堵",AND(G31&gt;=20,G31&lt;30),"中度拥堵",AND(G31&gt;=0,G31&lt;20),"严重拥堵"),F31=70,_xlfn.IFS(G31&gt;=45,"畅通",AND(G31&gt;=30,G31&lt;45),"轻度拥堵",AND(G31&gt;=20,G31&lt;30),"中度拥堵",AND(G31&gt;=0,G31&lt;20),"严重拥堵"),F31=80,_xlfn.IFS(G31&gt;=50,"畅通",AND(G31&gt;=35,G31&lt;50),"轻度拥堵",AND(G31&gt;=20,G31&lt;35),"中度拥堵",AND(G31&gt;=0,G31&lt;20),"严重拥堵"),F31=90,_xlfn.IFS(G31&gt;=55,"畅通",AND(G31&gt;=35,G31&lt;55),"轻度拥堵",AND(G31&gt;=20,G31&lt;35),"中度拥堵",AND(G31&gt;=0,G31&lt;20),"严重拥堵"),F31=100,_xlfn.IFS(G31&gt;=60,"畅通",AND(G31&gt;=40,G31&lt;60),"轻度拥堵",AND(G31&gt;=20,G31&lt;40),"中度拥堵",AND(G31&gt;=0,G31&lt;20),"严重拥堵"),F31=110,_xlfn.IFS(G31&gt;=65,"畅通",AND(G31&gt;=45,G31&lt;65),"轻度拥堵",AND(G31&gt;=25,G31&lt;45),"中度拥堵",AND(G31&gt;=0,G31&lt;25),"严重拥堵"),F31=120,_xlfn.IFS(G31&gt;=70,"畅通",AND(G31&gt;=50,G31&lt;70),"轻度拥堵",AND(G31&gt;=30,G31&lt;50),"中度拥堵",AND(G31&gt;=0,G31&lt;30),"严重拥堵")))</f>
        <v>中度拥堵</v>
      </c>
      <c r="P31">
        <v>80</v>
      </c>
      <c r="Q31">
        <v>60</v>
      </c>
    </row>
    <row r="32" spans="1:19" x14ac:dyDescent="0.2">
      <c r="A32">
        <v>31</v>
      </c>
      <c r="B32" t="str" cm="1">
        <f t="array" aca="1" ref="B32" ca="1">INDIRECT("r"&amp;RANDBETWEEN(22,23))</f>
        <v>城市快速路</v>
      </c>
      <c r="C32">
        <f t="shared" ca="1" si="8"/>
        <v>480</v>
      </c>
      <c r="D32">
        <f t="shared" ca="1" si="9"/>
        <v>3.9</v>
      </c>
      <c r="E32">
        <f t="shared" ca="1" si="6"/>
        <v>32.28</v>
      </c>
      <c r="F32" cm="1">
        <f t="array" aca="1" ref="F32" ca="1">INDIRECT("p"&amp;RANDBETWEEN(20,39))</f>
        <v>60</v>
      </c>
      <c r="G32">
        <f t="shared" ca="1" si="7"/>
        <v>58</v>
      </c>
      <c r="H32" t="str" cm="1">
        <f t="array" aca="1" ref="H32" ca="1">IF(OR(B32="主干路",B32="次干路"),_xlfn.IFS(F32=40,_xlfn.IFS(G32&gt;=25,"畅通",AND(G32&gt;=20,G32&lt;25),"轻度拥堵",AND(G32&gt;=15,G32&lt;20),"中度拥堵",AND(G32&gt;=0,G32&lt;15),"严重拥堵"),F32&lt;40,_xlfn.IFS(G32&gt;=25,"畅通",AND(G32&gt;=20,G32&lt;25),"轻度拥堵",AND(G32&gt;=10,G32&lt;20),"中度拥堵",AND(G32&gt;=0,G32&lt;10),"严重拥堵"),F32=50,_xlfn.IFS(G32&gt;=30,"畅通",AND(G32&gt;=25,G32&lt;30),"轻度拥堵",AND(G32&gt;=15,G32&lt;25),"中度拥堵",AND(G32&gt;=0,G32&lt;15),"严重拥堵"),F32=60,_xlfn.IFS(G32&gt;=35,"畅通",AND(G32&gt;=30,G32&lt;35),"轻度拥堵",AND(G32&gt;=20,G32&lt;30),"中度拥堵",AND(G32&gt;=0,G32&lt;20),"严重拥堵"),F32=70,_xlfn.IFS(G32&gt;=40,"畅通",AND(G32&gt;=30,G32&lt;40),"轻度拥堵",AND(G32&gt;=20,G32&lt;30),"中度拥堵",AND(G32&gt;=0,G32&lt;20),"严重拥堵"),F32=80,_xlfn.IFS(G32&gt;=45,"畅通",AND(G32&gt;=30,G32&lt;45),"轻度拥堵",AND(G32&gt;=20,G32&lt;30),"中度拥堵",AND(G32&gt;=0,G32&lt;20),"严重拥堵")),_xlfn.IFS(F32&lt;60,_xlfn.IFS(G32&gt;=40,"畅通",AND(G32&gt;=30,G32&lt;40),"轻度拥堵",AND(G32&gt;=20,G32&lt;30),"中度拥堵",AND(G32&gt;=0,G32&lt;20),"严重拥堵"),F32=60,_xlfn.IFS(G32&gt;=40,"畅通",AND(G32&gt;=30,G32&lt;40),"轻度拥堵",AND(G32&gt;=20,G32&lt;30),"中度拥堵",AND(G32&gt;=0,G32&lt;20),"严重拥堵"),F32=70,_xlfn.IFS(G32&gt;=45,"畅通",AND(G32&gt;=30,G32&lt;45),"轻度拥堵",AND(G32&gt;=20,G32&lt;30),"中度拥堵",AND(G32&gt;=0,G32&lt;20),"严重拥堵"),F32=80,_xlfn.IFS(G32&gt;=50,"畅通",AND(G32&gt;=35,G32&lt;50),"轻度拥堵",AND(G32&gt;=20,G32&lt;35),"中度拥堵",AND(G32&gt;=0,G32&lt;20),"严重拥堵"),F32=90,_xlfn.IFS(G32&gt;=55,"畅通",AND(G32&gt;=35,G32&lt;55),"轻度拥堵",AND(G32&gt;=20,G32&lt;35),"中度拥堵",AND(G32&gt;=0,G32&lt;20),"严重拥堵"),F32=100,_xlfn.IFS(G32&gt;=60,"畅通",AND(G32&gt;=40,G32&lt;60),"轻度拥堵",AND(G32&gt;=20,G32&lt;40),"中度拥堵",AND(G32&gt;=0,G32&lt;20),"严重拥堵"),F32=110,_xlfn.IFS(G32&gt;=65,"畅通",AND(G32&gt;=45,G32&lt;65),"轻度拥堵",AND(G32&gt;=25,G32&lt;45),"中度拥堵",AND(G32&gt;=0,G32&lt;25),"严重拥堵"),F32=120,_xlfn.IFS(G32&gt;=70,"畅通",AND(G32&gt;=50,G32&lt;70),"轻度拥堵",AND(G32&gt;=30,G32&lt;50),"中度拥堵",AND(G32&gt;=0,G32&lt;30),"严重拥堵")))</f>
        <v>畅通</v>
      </c>
      <c r="P32">
        <v>80</v>
      </c>
      <c r="Q32">
        <v>60</v>
      </c>
    </row>
    <row r="33" spans="1:17" x14ac:dyDescent="0.2">
      <c r="A33">
        <v>32</v>
      </c>
      <c r="B33" t="str" cm="1">
        <f t="array" aca="1" ref="B33" ca="1">INDIRECT("r"&amp;RANDBETWEEN(22,23))</f>
        <v>城市快速路</v>
      </c>
      <c r="C33">
        <f t="shared" ca="1" si="8"/>
        <v>451</v>
      </c>
      <c r="D33">
        <f t="shared" ca="1" si="9"/>
        <v>3.7</v>
      </c>
      <c r="E33">
        <f t="shared" ca="1" si="6"/>
        <v>29.28</v>
      </c>
      <c r="F33" cm="1">
        <f t="array" aca="1" ref="F33" ca="1">INDIRECT("p"&amp;RANDBETWEEN(20,39))</f>
        <v>80</v>
      </c>
      <c r="G33">
        <f t="shared" ca="1" si="7"/>
        <v>57</v>
      </c>
      <c r="H33" t="str" cm="1">
        <f t="array" aca="1" ref="H33" ca="1">IF(OR(B33="主干路",B33="次干路"),_xlfn.IFS(F33=40,_xlfn.IFS(G33&gt;=25,"畅通",AND(G33&gt;=20,G33&lt;25),"轻度拥堵",AND(G33&gt;=15,G33&lt;20),"中度拥堵",AND(G33&gt;=0,G33&lt;15),"严重拥堵"),F33&lt;40,_xlfn.IFS(G33&gt;=25,"畅通",AND(G33&gt;=20,G33&lt;25),"轻度拥堵",AND(G33&gt;=10,G33&lt;20),"中度拥堵",AND(G33&gt;=0,G33&lt;10),"严重拥堵"),F33=50,_xlfn.IFS(G33&gt;=30,"畅通",AND(G33&gt;=25,G33&lt;30),"轻度拥堵",AND(G33&gt;=15,G33&lt;25),"中度拥堵",AND(G33&gt;=0,G33&lt;15),"严重拥堵"),F33=60,_xlfn.IFS(G33&gt;=35,"畅通",AND(G33&gt;=30,G33&lt;35),"轻度拥堵",AND(G33&gt;=20,G33&lt;30),"中度拥堵",AND(G33&gt;=0,G33&lt;20),"严重拥堵"),F33=70,_xlfn.IFS(G33&gt;=40,"畅通",AND(G33&gt;=30,G33&lt;40),"轻度拥堵",AND(G33&gt;=20,G33&lt;30),"中度拥堵",AND(G33&gt;=0,G33&lt;20),"严重拥堵"),F33=80,_xlfn.IFS(G33&gt;=45,"畅通",AND(G33&gt;=30,G33&lt;45),"轻度拥堵",AND(G33&gt;=20,G33&lt;30),"中度拥堵",AND(G33&gt;=0,G33&lt;20),"严重拥堵")),_xlfn.IFS(F33&lt;60,_xlfn.IFS(G33&gt;=40,"畅通",AND(G33&gt;=30,G33&lt;40),"轻度拥堵",AND(G33&gt;=20,G33&lt;30),"中度拥堵",AND(G33&gt;=0,G33&lt;20),"严重拥堵"),F33=60,_xlfn.IFS(G33&gt;=40,"畅通",AND(G33&gt;=30,G33&lt;40),"轻度拥堵",AND(G33&gt;=20,G33&lt;30),"中度拥堵",AND(G33&gt;=0,G33&lt;20),"严重拥堵"),F33=70,_xlfn.IFS(G33&gt;=45,"畅通",AND(G33&gt;=30,G33&lt;45),"轻度拥堵",AND(G33&gt;=20,G33&lt;30),"中度拥堵",AND(G33&gt;=0,G33&lt;20),"严重拥堵"),F33=80,_xlfn.IFS(G33&gt;=50,"畅通",AND(G33&gt;=35,G33&lt;50),"轻度拥堵",AND(G33&gt;=20,G33&lt;35),"中度拥堵",AND(G33&gt;=0,G33&lt;20),"严重拥堵"),F33=90,_xlfn.IFS(G33&gt;=55,"畅通",AND(G33&gt;=35,G33&lt;55),"轻度拥堵",AND(G33&gt;=20,G33&lt;35),"中度拥堵",AND(G33&gt;=0,G33&lt;20),"严重拥堵"),F33=100,_xlfn.IFS(G33&gt;=60,"畅通",AND(G33&gt;=40,G33&lt;60),"轻度拥堵",AND(G33&gt;=20,G33&lt;40),"中度拥堵",AND(G33&gt;=0,G33&lt;20),"严重拥堵"),F33=110,_xlfn.IFS(G33&gt;=65,"畅通",AND(G33&gt;=45,G33&lt;65),"轻度拥堵",AND(G33&gt;=25,G33&lt;45),"中度拥堵",AND(G33&gt;=0,G33&lt;25),"严重拥堵"),F33=120,_xlfn.IFS(G33&gt;=70,"畅通",AND(G33&gt;=50,G33&lt;70),"轻度拥堵",AND(G33&gt;=30,G33&lt;50),"中度拥堵",AND(G33&gt;=0,G33&lt;30),"严重拥堵")))</f>
        <v>畅通</v>
      </c>
      <c r="P33">
        <v>80</v>
      </c>
      <c r="Q33">
        <v>60</v>
      </c>
    </row>
    <row r="34" spans="1:17" x14ac:dyDescent="0.2">
      <c r="A34">
        <v>33</v>
      </c>
      <c r="B34" t="str" cm="1">
        <f t="array" aca="1" ref="B34" ca="1">INDIRECT("r"&amp;RANDBETWEEN(22,23))</f>
        <v>公路</v>
      </c>
      <c r="C34">
        <f t="shared" ca="1" si="8"/>
        <v>250</v>
      </c>
      <c r="D34">
        <f t="shared" ca="1" si="9"/>
        <v>3.2</v>
      </c>
      <c r="E34">
        <f t="shared" ca="1" si="6"/>
        <v>53.33</v>
      </c>
      <c r="F34" cm="1">
        <f t="array" aca="1" ref="F34" ca="1">INDIRECT("p"&amp;RANDBETWEEN(20,39))</f>
        <v>40</v>
      </c>
      <c r="G34">
        <f t="shared" ca="1" si="7"/>
        <v>15</v>
      </c>
      <c r="H34" t="str" cm="1">
        <f t="array" aca="1" ref="H34" ca="1">IF(OR(B34="主干路",B34="次干路"),_xlfn.IFS(F34=40,_xlfn.IFS(G34&gt;=25,"畅通",AND(G34&gt;=20,G34&lt;25),"轻度拥堵",AND(G34&gt;=15,G34&lt;20),"中度拥堵",AND(G34&gt;=0,G34&lt;15),"严重拥堵"),F34&lt;40,_xlfn.IFS(G34&gt;=25,"畅通",AND(G34&gt;=20,G34&lt;25),"轻度拥堵",AND(G34&gt;=10,G34&lt;20),"中度拥堵",AND(G34&gt;=0,G34&lt;10),"严重拥堵"),F34=50,_xlfn.IFS(G34&gt;=30,"畅通",AND(G34&gt;=25,G34&lt;30),"轻度拥堵",AND(G34&gt;=15,G34&lt;25),"中度拥堵",AND(G34&gt;=0,G34&lt;15),"严重拥堵"),F34=60,_xlfn.IFS(G34&gt;=35,"畅通",AND(G34&gt;=30,G34&lt;35),"轻度拥堵",AND(G34&gt;=20,G34&lt;30),"中度拥堵",AND(G34&gt;=0,G34&lt;20),"严重拥堵"),F34=70,_xlfn.IFS(G34&gt;=40,"畅通",AND(G34&gt;=30,G34&lt;40),"轻度拥堵",AND(G34&gt;=20,G34&lt;30),"中度拥堵",AND(G34&gt;=0,G34&lt;20),"严重拥堵"),F34=80,_xlfn.IFS(G34&gt;=45,"畅通",AND(G34&gt;=30,G34&lt;45),"轻度拥堵",AND(G34&gt;=20,G34&lt;30),"中度拥堵",AND(G34&gt;=0,G34&lt;20),"严重拥堵")),_xlfn.IFS(F34&lt;60,_xlfn.IFS(G34&gt;=40,"畅通",AND(G34&gt;=30,G34&lt;40),"轻度拥堵",AND(G34&gt;=20,G34&lt;30),"中度拥堵",AND(G34&gt;=0,G34&lt;20),"严重拥堵"),F34=60,_xlfn.IFS(G34&gt;=40,"畅通",AND(G34&gt;=30,G34&lt;40),"轻度拥堵",AND(G34&gt;=20,G34&lt;30),"中度拥堵",AND(G34&gt;=0,G34&lt;20),"严重拥堵"),F34=70,_xlfn.IFS(G34&gt;=45,"畅通",AND(G34&gt;=30,G34&lt;45),"轻度拥堵",AND(G34&gt;=20,G34&lt;30),"中度拥堵",AND(G34&gt;=0,G34&lt;20),"严重拥堵"),F34=80,_xlfn.IFS(G34&gt;=50,"畅通",AND(G34&gt;=35,G34&lt;50),"轻度拥堵",AND(G34&gt;=20,G34&lt;35),"中度拥堵",AND(G34&gt;=0,G34&lt;20),"严重拥堵"),F34=90,_xlfn.IFS(G34&gt;=55,"畅通",AND(G34&gt;=35,G34&lt;55),"轻度拥堵",AND(G34&gt;=20,G34&lt;35),"中度拥堵",AND(G34&gt;=0,G34&lt;20),"严重拥堵"),F34=100,_xlfn.IFS(G34&gt;=60,"畅通",AND(G34&gt;=40,G34&lt;60),"轻度拥堵",AND(G34&gt;=20,G34&lt;40),"中度拥堵",AND(G34&gt;=0,G34&lt;20),"严重拥堵"),F34=110,_xlfn.IFS(G34&gt;=65,"畅通",AND(G34&gt;=45,G34&lt;65),"轻度拥堵",AND(G34&gt;=25,G34&lt;45),"中度拥堵",AND(G34&gt;=0,G34&lt;25),"严重拥堵"),F34=120,_xlfn.IFS(G34&gt;=70,"畅通",AND(G34&gt;=50,G34&lt;70),"轻度拥堵",AND(G34&gt;=30,G34&lt;50),"中度拥堵",AND(G34&gt;=0,G34&lt;30),"严重拥堵")))</f>
        <v>严重拥堵</v>
      </c>
      <c r="P34">
        <v>90</v>
      </c>
      <c r="Q34">
        <v>60</v>
      </c>
    </row>
    <row r="35" spans="1:17" x14ac:dyDescent="0.2">
      <c r="A35">
        <v>34</v>
      </c>
      <c r="B35" t="str" cm="1">
        <f t="array" aca="1" ref="B35" ca="1">INDIRECT("r"&amp;RANDBETWEEN(22,23))</f>
        <v>公路</v>
      </c>
      <c r="C35">
        <f t="shared" ca="1" si="8"/>
        <v>417</v>
      </c>
      <c r="D35">
        <f t="shared" ca="1" si="9"/>
        <v>4.9000000000000004</v>
      </c>
      <c r="E35">
        <f t="shared" ca="1" si="6"/>
        <v>1021.65</v>
      </c>
      <c r="F35" cm="1">
        <f t="array" aca="1" ref="F35" ca="1">INDIRECT("p"&amp;RANDBETWEEN(20,39))</f>
        <v>120</v>
      </c>
      <c r="G35">
        <f t="shared" ca="1" si="7"/>
        <v>2</v>
      </c>
      <c r="H35" t="str" cm="1">
        <f t="array" aca="1" ref="H35" ca="1">IF(OR(B35="主干路",B35="次干路"),_xlfn.IFS(F35=40,_xlfn.IFS(G35&gt;=25,"畅通",AND(G35&gt;=20,G35&lt;25),"轻度拥堵",AND(G35&gt;=15,G35&lt;20),"中度拥堵",AND(G35&gt;=0,G35&lt;15),"严重拥堵"),F35&lt;40,_xlfn.IFS(G35&gt;=25,"畅通",AND(G35&gt;=20,G35&lt;25),"轻度拥堵",AND(G35&gt;=10,G35&lt;20),"中度拥堵",AND(G35&gt;=0,G35&lt;10),"严重拥堵"),F35=50,_xlfn.IFS(G35&gt;=30,"畅通",AND(G35&gt;=25,G35&lt;30),"轻度拥堵",AND(G35&gt;=15,G35&lt;25),"中度拥堵",AND(G35&gt;=0,G35&lt;15),"严重拥堵"),F35=60,_xlfn.IFS(G35&gt;=35,"畅通",AND(G35&gt;=30,G35&lt;35),"轻度拥堵",AND(G35&gt;=20,G35&lt;30),"中度拥堵",AND(G35&gt;=0,G35&lt;20),"严重拥堵"),F35=70,_xlfn.IFS(G35&gt;=40,"畅通",AND(G35&gt;=30,G35&lt;40),"轻度拥堵",AND(G35&gt;=20,G35&lt;30),"中度拥堵",AND(G35&gt;=0,G35&lt;20),"严重拥堵"),F35=80,_xlfn.IFS(G35&gt;=45,"畅通",AND(G35&gt;=30,G35&lt;45),"轻度拥堵",AND(G35&gt;=20,G35&lt;30),"中度拥堵",AND(G35&gt;=0,G35&lt;20),"严重拥堵")),_xlfn.IFS(F35&lt;60,_xlfn.IFS(G35&gt;=40,"畅通",AND(G35&gt;=30,G35&lt;40),"轻度拥堵",AND(G35&gt;=20,G35&lt;30),"中度拥堵",AND(G35&gt;=0,G35&lt;20),"严重拥堵"),F35=60,_xlfn.IFS(G35&gt;=40,"畅通",AND(G35&gt;=30,G35&lt;40),"轻度拥堵",AND(G35&gt;=20,G35&lt;30),"中度拥堵",AND(G35&gt;=0,G35&lt;20),"严重拥堵"),F35=70,_xlfn.IFS(G35&gt;=45,"畅通",AND(G35&gt;=30,G35&lt;45),"轻度拥堵",AND(G35&gt;=20,G35&lt;30),"中度拥堵",AND(G35&gt;=0,G35&lt;20),"严重拥堵"),F35=80,_xlfn.IFS(G35&gt;=50,"畅通",AND(G35&gt;=35,G35&lt;50),"轻度拥堵",AND(G35&gt;=20,G35&lt;35),"中度拥堵",AND(G35&gt;=0,G35&lt;20),"严重拥堵"),F35=90,_xlfn.IFS(G35&gt;=55,"畅通",AND(G35&gt;=35,G35&lt;55),"轻度拥堵",AND(G35&gt;=20,G35&lt;35),"中度拥堵",AND(G35&gt;=0,G35&lt;20),"严重拥堵"),F35=100,_xlfn.IFS(G35&gt;=60,"畅通",AND(G35&gt;=40,G35&lt;60),"轻度拥堵",AND(G35&gt;=20,G35&lt;40),"中度拥堵",AND(G35&gt;=0,G35&lt;20),"严重拥堵"),F35=110,_xlfn.IFS(G35&gt;=65,"畅通",AND(G35&gt;=45,G35&lt;65),"轻度拥堵",AND(G35&gt;=25,G35&lt;45),"中度拥堵",AND(G35&gt;=0,G35&lt;25),"严重拥堵"),F35=120,_xlfn.IFS(G35&gt;=70,"畅通",AND(G35&gt;=50,G35&lt;70),"轻度拥堵",AND(G35&gt;=30,G35&lt;50),"中度拥堵",AND(G35&gt;=0,G35&lt;30),"严重拥堵")))</f>
        <v>严重拥堵</v>
      </c>
      <c r="P35">
        <v>90</v>
      </c>
      <c r="Q35">
        <v>50</v>
      </c>
    </row>
    <row r="36" spans="1:17" x14ac:dyDescent="0.2">
      <c r="A36">
        <v>35</v>
      </c>
      <c r="B36" t="str" cm="1">
        <f t="array" aca="1" ref="B36" ca="1">INDIRECT("r"&amp;RANDBETWEEN(22,23))</f>
        <v>公路</v>
      </c>
      <c r="C36">
        <f t="shared" ca="1" si="8"/>
        <v>418</v>
      </c>
      <c r="D36">
        <f t="shared" ca="1" si="9"/>
        <v>2.8</v>
      </c>
      <c r="E36">
        <f t="shared" ca="1" si="6"/>
        <v>13</v>
      </c>
      <c r="F36" cm="1">
        <f t="array" aca="1" ref="F36" ca="1">INDIRECT("p"&amp;RANDBETWEEN(20,39))</f>
        <v>100</v>
      </c>
      <c r="G36">
        <f t="shared" ca="1" si="7"/>
        <v>90</v>
      </c>
      <c r="H36" t="str" cm="1">
        <f t="array" aca="1" ref="H36" ca="1">IF(OR(B36="主干路",B36="次干路"),_xlfn.IFS(F36=40,_xlfn.IFS(G36&gt;=25,"畅通",AND(G36&gt;=20,G36&lt;25),"轻度拥堵",AND(G36&gt;=15,G36&lt;20),"中度拥堵",AND(G36&gt;=0,G36&lt;15),"严重拥堵"),F36&lt;40,_xlfn.IFS(G36&gt;=25,"畅通",AND(G36&gt;=20,G36&lt;25),"轻度拥堵",AND(G36&gt;=10,G36&lt;20),"中度拥堵",AND(G36&gt;=0,G36&lt;10),"严重拥堵"),F36=50,_xlfn.IFS(G36&gt;=30,"畅通",AND(G36&gt;=25,G36&lt;30),"轻度拥堵",AND(G36&gt;=15,G36&lt;25),"中度拥堵",AND(G36&gt;=0,G36&lt;15),"严重拥堵"),F36=60,_xlfn.IFS(G36&gt;=35,"畅通",AND(G36&gt;=30,G36&lt;35),"轻度拥堵",AND(G36&gt;=20,G36&lt;30),"中度拥堵",AND(G36&gt;=0,G36&lt;20),"严重拥堵"),F36=70,_xlfn.IFS(G36&gt;=40,"畅通",AND(G36&gt;=30,G36&lt;40),"轻度拥堵",AND(G36&gt;=20,G36&lt;30),"中度拥堵",AND(G36&gt;=0,G36&lt;20),"严重拥堵"),F36=80,_xlfn.IFS(G36&gt;=45,"畅通",AND(G36&gt;=30,G36&lt;45),"轻度拥堵",AND(G36&gt;=20,G36&lt;30),"中度拥堵",AND(G36&gt;=0,G36&lt;20),"严重拥堵")),_xlfn.IFS(F36&lt;60,_xlfn.IFS(G36&gt;=40,"畅通",AND(G36&gt;=30,G36&lt;40),"轻度拥堵",AND(G36&gt;=20,G36&lt;30),"中度拥堵",AND(G36&gt;=0,G36&lt;20),"严重拥堵"),F36=60,_xlfn.IFS(G36&gt;=40,"畅通",AND(G36&gt;=30,G36&lt;40),"轻度拥堵",AND(G36&gt;=20,G36&lt;30),"中度拥堵",AND(G36&gt;=0,G36&lt;20),"严重拥堵"),F36=70,_xlfn.IFS(G36&gt;=45,"畅通",AND(G36&gt;=30,G36&lt;45),"轻度拥堵",AND(G36&gt;=20,G36&lt;30),"中度拥堵",AND(G36&gt;=0,G36&lt;20),"严重拥堵"),F36=80,_xlfn.IFS(G36&gt;=50,"畅通",AND(G36&gt;=35,G36&lt;50),"轻度拥堵",AND(G36&gt;=20,G36&lt;35),"中度拥堵",AND(G36&gt;=0,G36&lt;20),"严重拥堵"),F36=90,_xlfn.IFS(G36&gt;=55,"畅通",AND(G36&gt;=35,G36&lt;55),"轻度拥堵",AND(G36&gt;=20,G36&lt;35),"中度拥堵",AND(G36&gt;=0,G36&lt;20),"严重拥堵"),F36=100,_xlfn.IFS(G36&gt;=60,"畅通",AND(G36&gt;=40,G36&lt;60),"轻度拥堵",AND(G36&gt;=20,G36&lt;40),"中度拥堵",AND(G36&gt;=0,G36&lt;20),"严重拥堵"),F36=110,_xlfn.IFS(G36&gt;=65,"畅通",AND(G36&gt;=45,G36&lt;65),"轻度拥堵",AND(G36&gt;=25,G36&lt;45),"中度拥堵",AND(G36&gt;=0,G36&lt;25),"严重拥堵"),F36=120,_xlfn.IFS(G36&gt;=70,"畅通",AND(G36&gt;=50,G36&lt;70),"轻度拥堵",AND(G36&gt;=30,G36&lt;50),"中度拥堵",AND(G36&gt;=0,G36&lt;30),"严重拥堵")))</f>
        <v>畅通</v>
      </c>
      <c r="P36">
        <v>100</v>
      </c>
      <c r="Q36">
        <v>40</v>
      </c>
    </row>
    <row r="37" spans="1:17" x14ac:dyDescent="0.2">
      <c r="A37">
        <v>36</v>
      </c>
      <c r="B37" t="str" cm="1">
        <f t="array" aca="1" ref="B37" ca="1">INDIRECT("s"&amp;RANDBETWEEN(22,23))</f>
        <v>次干路</v>
      </c>
      <c r="C37">
        <f t="shared" ref="C37:C71" ca="1" si="10">RANDBETWEEN(78,182)</f>
        <v>140</v>
      </c>
      <c r="D37">
        <f t="shared" ref="D37:D71" ca="1" si="11">RANDBETWEEN(5,30)/10</f>
        <v>1.1000000000000001</v>
      </c>
      <c r="E37">
        <f t="shared" ca="1" si="6"/>
        <v>5.13</v>
      </c>
      <c r="F37" cm="1">
        <f t="array" aca="1" ref="F37" ca="1">INDIRECT("q"&amp;RANDBETWEEN(20,38))</f>
        <v>60</v>
      </c>
      <c r="G37">
        <f t="shared" ca="1" si="7"/>
        <v>30</v>
      </c>
      <c r="H37" t="str" cm="1">
        <f t="array" aca="1" ref="H37" ca="1">IF(OR(B37="主干路",B37="次干路"),_xlfn.IFS(F37=40,_xlfn.IFS(G37&gt;=25,"畅通",AND(G37&gt;=20,G37&lt;25),"轻度拥堵",AND(G37&gt;=15,G37&lt;20),"中度拥堵",AND(G37&gt;=0,G37&lt;15),"严重拥堵"),F37&lt;40,_xlfn.IFS(G37&gt;=25,"畅通",AND(G37&gt;=20,G37&lt;25),"轻度拥堵",AND(G37&gt;=10,G37&lt;20),"中度拥堵",AND(G37&gt;=0,G37&lt;10),"严重拥堵"),F37=50,_xlfn.IFS(G37&gt;=30,"畅通",AND(G37&gt;=25,G37&lt;30),"轻度拥堵",AND(G37&gt;=15,G37&lt;25),"中度拥堵",AND(G37&gt;=0,G37&lt;15),"严重拥堵"),F37=60,_xlfn.IFS(G37&gt;=35,"畅通",AND(G37&gt;=30,G37&lt;35),"轻度拥堵",AND(G37&gt;=20,G37&lt;30),"中度拥堵",AND(G37&gt;=0,G37&lt;20),"严重拥堵"),F37=70,_xlfn.IFS(G37&gt;=40,"畅通",AND(G37&gt;=30,G37&lt;40),"轻度拥堵",AND(G37&gt;=20,G37&lt;30),"中度拥堵",AND(G37&gt;=0,G37&lt;20),"严重拥堵"),F37=80,_xlfn.IFS(G37&gt;=45,"畅通",AND(G37&gt;=30,G37&lt;45),"轻度拥堵",AND(G37&gt;=20,G37&lt;30),"中度拥堵",AND(G37&gt;=0,G37&lt;20),"严重拥堵")),_xlfn.IFS(F37&lt;60,_xlfn.IFS(G37&gt;=40,"畅通",AND(G37&gt;=30,G37&lt;40),"轻度拥堵",AND(G37&gt;=20,G37&lt;30),"中度拥堵",AND(G37&gt;=0,G37&lt;20),"严重拥堵"),F37=60,_xlfn.IFS(G37&gt;=40,"畅通",AND(G37&gt;=30,G37&lt;40),"轻度拥堵",AND(G37&gt;=20,G37&lt;30),"中度拥堵",AND(G37&gt;=0,G37&lt;20),"严重拥堵"),F37=70,_xlfn.IFS(G37&gt;=45,"畅通",AND(G37&gt;=20,G37&lt;25),"轻度拥堵",AND(G37&gt;=10,G37&lt;20),"中度拥堵",AND(G37&gt;=0,G37&lt;10),"严重拥堵"),F37=80,_xlfn.IFS(G37&gt;=50,"畅通",AND(G37&gt;=35,G37&lt;50),"轻度拥堵",AND(G37&gt;=20,G37&lt;35),"中度拥堵",AND(G37&gt;=0,G37&lt;20),"严重拥堵"),F37=90,_xlfn.IFS(G37&gt;=55,"畅通",AND(G37&gt;=35,G37&lt;55),"轻度拥堵",AND(G37&gt;=20,G37&lt;35),"中度拥堵",AND(G37&gt;=0,G37&lt;20),"严重拥堵"),F37=100,_xlfn.IFS(G37&gt;=60,"畅通",AND(G37&gt;=40,G37&lt;60),"轻度拥堵",AND(G37&gt;=20,G37&lt;40),"中度拥堵",AND(G37&gt;=0,G37&lt;20),"严重拥堵"),F37=110,_xlfn.IFS(G37&gt;=65,"畅通",AND(G37&gt;=45,G37&lt;65),"轻度拥堵",AND(G37&gt;=25,G37&lt;45),"中度拥堵",AND(G37&gt;=0,G37&lt;25),"严重拥堵"),F37=120,_xlfn.IFS(G37&gt;=70,"畅通",AND(G37&gt;=50,G37&lt;70),"轻度拥堵",AND(G37&gt;=30,G37&lt;50),"中度拥堵",AND(G37&gt;=0,G37&lt;30),"严重拥堵")))</f>
        <v>轻度拥堵</v>
      </c>
      <c r="P37">
        <v>100</v>
      </c>
      <c r="Q37">
        <v>70</v>
      </c>
    </row>
    <row r="38" spans="1:17" x14ac:dyDescent="0.2">
      <c r="A38">
        <v>37</v>
      </c>
      <c r="B38" t="str" cm="1">
        <f t="array" aca="1" ref="B38" ca="1">INDIRECT("s"&amp;RANDBETWEEN(22,23))</f>
        <v>次干路</v>
      </c>
      <c r="C38">
        <f t="shared" ca="1" si="10"/>
        <v>138</v>
      </c>
      <c r="D38">
        <f t="shared" ca="1" si="11"/>
        <v>1.8</v>
      </c>
      <c r="E38">
        <f t="shared" ca="1" si="6"/>
        <v>5.91</v>
      </c>
      <c r="F38" cm="1">
        <f t="array" aca="1" ref="F38" ca="1">INDIRECT("q"&amp;RANDBETWEEN(20,38))</f>
        <v>60</v>
      </c>
      <c r="G38">
        <f t="shared" ca="1" si="7"/>
        <v>42</v>
      </c>
      <c r="H38" t="str" cm="1">
        <f t="array" aca="1" ref="H38" ca="1">IF(OR(B38="主干路",B38="次干路"),_xlfn.IFS(F38=40,_xlfn.IFS(G38&gt;=25,"畅通",AND(G38&gt;=20,G38&lt;25),"轻度拥堵",AND(G38&gt;=15,G38&lt;20),"中度拥堵",AND(G38&gt;=0,G38&lt;15),"严重拥堵"),F38&lt;40,_xlfn.IFS(G38&gt;=25,"畅通",AND(G38&gt;=20,G38&lt;25),"轻度拥堵",AND(G38&gt;=10,G38&lt;20),"中度拥堵",AND(G38&gt;=0,G38&lt;10),"严重拥堵"),F38=50,_xlfn.IFS(G38&gt;=30,"畅通",AND(G38&gt;=25,G38&lt;30),"轻度拥堵",AND(G38&gt;=15,G38&lt;25),"中度拥堵",AND(G38&gt;=0,G38&lt;15),"严重拥堵"),F38=60,_xlfn.IFS(G38&gt;=35,"畅通",AND(G38&gt;=30,G38&lt;35),"轻度拥堵",AND(G38&gt;=20,G38&lt;30),"中度拥堵",AND(G38&gt;=0,G38&lt;20),"严重拥堵"),F38=70,_xlfn.IFS(G38&gt;=40,"畅通",AND(G38&gt;=30,G38&lt;40),"轻度拥堵",AND(G38&gt;=20,G38&lt;30),"中度拥堵",AND(G38&gt;=0,G38&lt;20),"严重拥堵"),F38=80,_xlfn.IFS(G38&gt;=45,"畅通",AND(G38&gt;=30,G38&lt;45),"轻度拥堵",AND(G38&gt;=20,G38&lt;30),"中度拥堵",AND(G38&gt;=0,G38&lt;20),"严重拥堵")),_xlfn.IFS(F38&lt;60,_xlfn.IFS(G38&gt;=40,"畅通",AND(G38&gt;=30,G38&lt;40),"轻度拥堵",AND(G38&gt;=20,G38&lt;30),"中度拥堵",AND(G38&gt;=0,G38&lt;20),"严重拥堵"),F38=60,_xlfn.IFS(G38&gt;=40,"畅通",AND(G38&gt;=30,G38&lt;40),"轻度拥堵",AND(G38&gt;=20,G38&lt;30),"中度拥堵",AND(G38&gt;=0,G38&lt;20),"严重拥堵"),F38=70,_xlfn.IFS(G38&gt;=45,"畅通",AND(G38&gt;=20,G38&lt;25),"轻度拥堵",AND(G38&gt;=10,G38&lt;20),"中度拥堵",AND(G38&gt;=0,G38&lt;10),"严重拥堵"),F38=80,_xlfn.IFS(G38&gt;=50,"畅通",AND(G38&gt;=35,G38&lt;50),"轻度拥堵",AND(G38&gt;=20,G38&lt;35),"中度拥堵",AND(G38&gt;=0,G38&lt;20),"严重拥堵"),F38=90,_xlfn.IFS(G38&gt;=55,"畅通",AND(G38&gt;=35,G38&lt;55),"轻度拥堵",AND(G38&gt;=20,G38&lt;35),"中度拥堵",AND(G38&gt;=0,G38&lt;20),"严重拥堵"),F38=100,_xlfn.IFS(G38&gt;=60,"畅通",AND(G38&gt;=40,G38&lt;60),"轻度拥堵",AND(G38&gt;=20,G38&lt;40),"中度拥堵",AND(G38&gt;=0,G38&lt;20),"严重拥堵"),F38=110,_xlfn.IFS(G38&gt;=65,"畅通",AND(G38&gt;=45,G38&lt;65),"轻度拥堵",AND(G38&gt;=25,G38&lt;45),"中度拥堵",AND(G38&gt;=0,G38&lt;25),"严重拥堵"),F38=120,_xlfn.IFS(G38&gt;=70,"畅通",AND(G38&gt;=50,G38&lt;70),"轻度拥堵",AND(G38&gt;=30,G38&lt;50),"中度拥堵",AND(G38&gt;=0,G38&lt;30),"严重拥堵")))</f>
        <v>畅通</v>
      </c>
      <c r="P38">
        <v>110</v>
      </c>
      <c r="Q38">
        <v>80</v>
      </c>
    </row>
    <row r="39" spans="1:17" x14ac:dyDescent="0.2">
      <c r="A39">
        <v>38</v>
      </c>
      <c r="B39" t="str" cm="1">
        <f t="array" aca="1" ref="B39" ca="1">INDIRECT("s"&amp;RANDBETWEEN(22,23))</f>
        <v>主干路</v>
      </c>
      <c r="C39">
        <f t="shared" ca="1" si="10"/>
        <v>168</v>
      </c>
      <c r="D39">
        <f t="shared" ca="1" si="11"/>
        <v>1.3</v>
      </c>
      <c r="E39">
        <f t="shared" ca="1" si="6"/>
        <v>18.2</v>
      </c>
      <c r="F39" cm="1">
        <f t="array" aca="1" ref="F39" ca="1">INDIRECT("q"&amp;RANDBETWEEN(20,38))</f>
        <v>60</v>
      </c>
      <c r="G39">
        <f t="shared" ca="1" si="7"/>
        <v>12</v>
      </c>
      <c r="H39" t="str" cm="1">
        <f t="array" aca="1" ref="H39" ca="1">IF(OR(B39="主干路",B39="次干路"),_xlfn.IFS(F39=40,_xlfn.IFS(G39&gt;=25,"畅通",AND(G39&gt;=20,G39&lt;25),"轻度拥堵",AND(G39&gt;=15,G39&lt;20),"中度拥堵",AND(G39&gt;=0,G39&lt;15),"严重拥堵"),F39&lt;40,_xlfn.IFS(G39&gt;=25,"畅通",AND(G39&gt;=20,G39&lt;25),"轻度拥堵",AND(G39&gt;=10,G39&lt;20),"中度拥堵",AND(G39&gt;=0,G39&lt;10),"严重拥堵"),F39=50,_xlfn.IFS(G39&gt;=30,"畅通",AND(G39&gt;=25,G39&lt;30),"轻度拥堵",AND(G39&gt;=15,G39&lt;25),"中度拥堵",AND(G39&gt;=0,G39&lt;15),"严重拥堵"),F39=60,_xlfn.IFS(G39&gt;=35,"畅通",AND(G39&gt;=30,G39&lt;35),"轻度拥堵",AND(G39&gt;=20,G39&lt;30),"中度拥堵",AND(G39&gt;=0,G39&lt;20),"严重拥堵"),F39=70,_xlfn.IFS(G39&gt;=40,"畅通",AND(G39&gt;=30,G39&lt;40),"轻度拥堵",AND(G39&gt;=20,G39&lt;30),"中度拥堵",AND(G39&gt;=0,G39&lt;20),"严重拥堵"),F39=80,_xlfn.IFS(G39&gt;=45,"畅通",AND(G39&gt;=30,G39&lt;45),"轻度拥堵",AND(G39&gt;=20,G39&lt;30),"中度拥堵",AND(G39&gt;=0,G39&lt;20),"严重拥堵")),_xlfn.IFS(F39&lt;60,_xlfn.IFS(G39&gt;=40,"畅通",AND(G39&gt;=30,G39&lt;40),"轻度拥堵",AND(G39&gt;=20,G39&lt;30),"中度拥堵",AND(G39&gt;=0,G39&lt;20),"严重拥堵"),F39=60,_xlfn.IFS(G39&gt;=40,"畅通",AND(G39&gt;=30,G39&lt;40),"轻度拥堵",AND(G39&gt;=20,G39&lt;30),"中度拥堵",AND(G39&gt;=0,G39&lt;20),"严重拥堵"),F39=70,_xlfn.IFS(G39&gt;=45,"畅通",AND(G39&gt;=20,G39&lt;25),"轻度拥堵",AND(G39&gt;=10,G39&lt;20),"中度拥堵",AND(G39&gt;=0,G39&lt;10),"严重拥堵"),F39=80,_xlfn.IFS(G39&gt;=50,"畅通",AND(G39&gt;=35,G39&lt;50),"轻度拥堵",AND(G39&gt;=20,G39&lt;35),"中度拥堵",AND(G39&gt;=0,G39&lt;20),"严重拥堵"),F39=90,_xlfn.IFS(G39&gt;=55,"畅通",AND(G39&gt;=35,G39&lt;55),"轻度拥堵",AND(G39&gt;=20,G39&lt;35),"中度拥堵",AND(G39&gt;=0,G39&lt;20),"严重拥堵"),F39=100,_xlfn.IFS(G39&gt;=60,"畅通",AND(G39&gt;=40,G39&lt;60),"轻度拥堵",AND(G39&gt;=20,G39&lt;40),"中度拥堵",AND(G39&gt;=0,G39&lt;20),"严重拥堵"),F39=110,_xlfn.IFS(G39&gt;=65,"畅通",AND(G39&gt;=45,G39&lt;65),"轻度拥堵",AND(G39&gt;=25,G39&lt;45),"中度拥堵",AND(G39&gt;=0,G39&lt;25),"严重拥堵"),F39=120,_xlfn.IFS(G39&gt;=70,"畅通",AND(G39&gt;=50,G39&lt;70),"轻度拥堵",AND(G39&gt;=30,G39&lt;50),"中度拥堵",AND(G39&gt;=0,G39&lt;30),"严重拥堵")))</f>
        <v>严重拥堵</v>
      </c>
      <c r="P39">
        <v>120</v>
      </c>
    </row>
    <row r="40" spans="1:17" x14ac:dyDescent="0.2">
      <c r="A40">
        <v>39</v>
      </c>
      <c r="B40" t="str" cm="1">
        <f t="array" aca="1" ref="B40" ca="1">INDIRECT("s"&amp;RANDBETWEEN(22,23))</f>
        <v>主干路</v>
      </c>
      <c r="C40">
        <f t="shared" ca="1" si="10"/>
        <v>180</v>
      </c>
      <c r="D40">
        <f t="shared" ca="1" si="11"/>
        <v>2.9</v>
      </c>
      <c r="E40">
        <f t="shared" ca="1" si="6"/>
        <v>18</v>
      </c>
      <c r="F40" cm="1">
        <f t="array" aca="1" ref="F40" ca="1">INDIRECT("q"&amp;RANDBETWEEN(20,38))</f>
        <v>60</v>
      </c>
      <c r="G40">
        <f t="shared" ca="1" si="7"/>
        <v>29</v>
      </c>
      <c r="H40" t="str" cm="1">
        <f t="array" aca="1" ref="H40" ca="1">IF(OR(B40="主干路",B40="次干路"),_xlfn.IFS(F40=40,_xlfn.IFS(G40&gt;=25,"畅通",AND(G40&gt;=20,G40&lt;25),"轻度拥堵",AND(G40&gt;=15,G40&lt;20),"中度拥堵",AND(G40&gt;=0,G40&lt;15),"严重拥堵"),F40&lt;40,_xlfn.IFS(G40&gt;=25,"畅通",AND(G40&gt;=20,G40&lt;25),"轻度拥堵",AND(G40&gt;=10,G40&lt;20),"中度拥堵",AND(G40&gt;=0,G40&lt;10),"严重拥堵"),F40=50,_xlfn.IFS(G40&gt;=30,"畅通",AND(G40&gt;=25,G40&lt;30),"轻度拥堵",AND(G40&gt;=15,G40&lt;25),"中度拥堵",AND(G40&gt;=0,G40&lt;15),"严重拥堵"),F40=60,_xlfn.IFS(G40&gt;=35,"畅通",AND(G40&gt;=30,G40&lt;35),"轻度拥堵",AND(G40&gt;=20,G40&lt;30),"中度拥堵",AND(G40&gt;=0,G40&lt;20),"严重拥堵"),F40=70,_xlfn.IFS(G40&gt;=40,"畅通",AND(G40&gt;=30,G40&lt;40),"轻度拥堵",AND(G40&gt;=20,G40&lt;30),"中度拥堵",AND(G40&gt;=0,G40&lt;20),"严重拥堵"),F40=80,_xlfn.IFS(G40&gt;=45,"畅通",AND(G40&gt;=30,G40&lt;45),"轻度拥堵",AND(G40&gt;=20,G40&lt;30),"中度拥堵",AND(G40&gt;=0,G40&lt;20),"严重拥堵")),_xlfn.IFS(F40&lt;60,_xlfn.IFS(G40&gt;=40,"畅通",AND(G40&gt;=30,G40&lt;40),"轻度拥堵",AND(G40&gt;=20,G40&lt;30),"中度拥堵",AND(G40&gt;=0,G40&lt;20),"严重拥堵"),F40=60,_xlfn.IFS(G40&gt;=40,"畅通",AND(G40&gt;=30,G40&lt;40),"轻度拥堵",AND(G40&gt;=20,G40&lt;30),"中度拥堵",AND(G40&gt;=0,G40&lt;20),"严重拥堵"),F40=70,_xlfn.IFS(G40&gt;=45,"畅通",AND(G40&gt;=20,G40&lt;25),"轻度拥堵",AND(G40&gt;=10,G40&lt;20),"中度拥堵",AND(G40&gt;=0,G40&lt;10),"严重拥堵"),F40=80,_xlfn.IFS(G40&gt;=50,"畅通",AND(G40&gt;=35,G40&lt;50),"轻度拥堵",AND(G40&gt;=20,G40&lt;35),"中度拥堵",AND(G40&gt;=0,G40&lt;20),"严重拥堵"),F40=90,_xlfn.IFS(G40&gt;=55,"畅通",AND(G40&gt;=35,G40&lt;55),"轻度拥堵",AND(G40&gt;=20,G40&lt;35),"中度拥堵",AND(G40&gt;=0,G40&lt;20),"严重拥堵"),F40=100,_xlfn.IFS(G40&gt;=60,"畅通",AND(G40&gt;=40,G40&lt;60),"轻度拥堵",AND(G40&gt;=20,G40&lt;40),"中度拥堵",AND(G40&gt;=0,G40&lt;20),"严重拥堵"),F40=110,_xlfn.IFS(G40&gt;=65,"畅通",AND(G40&gt;=45,G40&lt;65),"轻度拥堵",AND(G40&gt;=25,G40&lt;45),"中度拥堵",AND(G40&gt;=0,G40&lt;25),"严重拥堵"),F40=120,_xlfn.IFS(G40&gt;=70,"畅通",AND(G40&gt;=50,G40&lt;70),"轻度拥堵",AND(G40&gt;=30,G40&lt;50),"中度拥堵",AND(G40&gt;=0,G40&lt;30),"严重拥堵")))</f>
        <v>中度拥堵</v>
      </c>
    </row>
    <row r="41" spans="1:17" x14ac:dyDescent="0.2">
      <c r="A41">
        <v>40</v>
      </c>
      <c r="B41" t="str" cm="1">
        <f t="array" aca="1" ref="B41" ca="1">INDIRECT("s"&amp;RANDBETWEEN(22,23))</f>
        <v>主干路</v>
      </c>
      <c r="C41">
        <f t="shared" ca="1" si="10"/>
        <v>169</v>
      </c>
      <c r="D41">
        <f t="shared" ca="1" si="11"/>
        <v>2.8</v>
      </c>
      <c r="E41">
        <f t="shared" ref="E41:E72" ca="1" si="12">ROUND(C41*D41/G41,2)</f>
        <v>13.92</v>
      </c>
      <c r="F41" cm="1">
        <f t="array" aca="1" ref="F41" ca="1">INDIRECT("q"&amp;RANDBETWEEN(20,38))</f>
        <v>60</v>
      </c>
      <c r="G41">
        <f t="shared" ref="G41:G72" ca="1" si="13">RANDBETWEEN(1,F41)</f>
        <v>34</v>
      </c>
      <c r="H41" t="str" cm="1">
        <f t="array" aca="1" ref="H41" ca="1">IF(OR(B41="主干路",B41="次干路"),_xlfn.IFS(F41=40,_xlfn.IFS(G41&gt;=25,"畅通",AND(G41&gt;=20,G41&lt;25),"轻度拥堵",AND(G41&gt;=15,G41&lt;20),"中度拥堵",AND(G41&gt;=0,G41&lt;15),"严重拥堵"),F41&lt;40,_xlfn.IFS(G41&gt;=25,"畅通",AND(G41&gt;=20,G41&lt;25),"轻度拥堵",AND(G41&gt;=10,G41&lt;20),"中度拥堵",AND(G41&gt;=0,G41&lt;10),"严重拥堵"),F41=50,_xlfn.IFS(G41&gt;=30,"畅通",AND(G41&gt;=25,G41&lt;30),"轻度拥堵",AND(G41&gt;=15,G41&lt;25),"中度拥堵",AND(G41&gt;=0,G41&lt;15),"严重拥堵"),F41=60,_xlfn.IFS(G41&gt;=35,"畅通",AND(G41&gt;=30,G41&lt;35),"轻度拥堵",AND(G41&gt;=20,G41&lt;30),"中度拥堵",AND(G41&gt;=0,G41&lt;20),"严重拥堵"),F41=70,_xlfn.IFS(G41&gt;=40,"畅通",AND(G41&gt;=30,G41&lt;40),"轻度拥堵",AND(G41&gt;=20,G41&lt;30),"中度拥堵",AND(G41&gt;=0,G41&lt;20),"严重拥堵"),F41=80,_xlfn.IFS(G41&gt;=45,"畅通",AND(G41&gt;=30,G41&lt;45),"轻度拥堵",AND(G41&gt;=20,G41&lt;30),"中度拥堵",AND(G41&gt;=0,G41&lt;20),"严重拥堵")),_xlfn.IFS(F41&lt;60,_xlfn.IFS(G41&gt;=40,"畅通",AND(G41&gt;=30,G41&lt;40),"轻度拥堵",AND(G41&gt;=20,G41&lt;30),"中度拥堵",AND(G41&gt;=0,G41&lt;20),"严重拥堵"),F41=60,_xlfn.IFS(G41&gt;=40,"畅通",AND(G41&gt;=30,G41&lt;40),"轻度拥堵",AND(G41&gt;=20,G41&lt;30),"中度拥堵",AND(G41&gt;=0,G41&lt;20),"严重拥堵"),F41=70,_xlfn.IFS(G41&gt;=45,"畅通",AND(G41&gt;=20,G41&lt;25),"轻度拥堵",AND(G41&gt;=10,G41&lt;20),"中度拥堵",AND(G41&gt;=0,G41&lt;10),"严重拥堵"),F41=80,_xlfn.IFS(G41&gt;=50,"畅通",AND(G41&gt;=35,G41&lt;50),"轻度拥堵",AND(G41&gt;=20,G41&lt;35),"中度拥堵",AND(G41&gt;=0,G41&lt;20),"严重拥堵"),F41=90,_xlfn.IFS(G41&gt;=55,"畅通",AND(G41&gt;=35,G41&lt;55),"轻度拥堵",AND(G41&gt;=20,G41&lt;35),"中度拥堵",AND(G41&gt;=0,G41&lt;20),"严重拥堵"),F41=100,_xlfn.IFS(G41&gt;=60,"畅通",AND(G41&gt;=40,G41&lt;60),"轻度拥堵",AND(G41&gt;=20,G41&lt;40),"中度拥堵",AND(G41&gt;=0,G41&lt;20),"严重拥堵"),F41=110,_xlfn.IFS(G41&gt;=65,"畅通",AND(G41&gt;=45,G41&lt;65),"轻度拥堵",AND(G41&gt;=25,G41&lt;45),"中度拥堵",AND(G41&gt;=0,G41&lt;25),"严重拥堵"),F41=120,_xlfn.IFS(G41&gt;=70,"畅通",AND(G41&gt;=50,G41&lt;70),"轻度拥堵",AND(G41&gt;=30,G41&lt;50),"中度拥堵",AND(G41&gt;=0,G41&lt;30),"严重拥堵")))</f>
        <v>轻度拥堵</v>
      </c>
    </row>
    <row r="42" spans="1:17" x14ac:dyDescent="0.2">
      <c r="A42">
        <v>41</v>
      </c>
      <c r="B42" t="str" cm="1">
        <f t="array" aca="1" ref="B42" ca="1">INDIRECT("s"&amp;RANDBETWEEN(22,23))</f>
        <v>次干路</v>
      </c>
      <c r="C42">
        <f t="shared" ca="1" si="10"/>
        <v>93</v>
      </c>
      <c r="D42">
        <f t="shared" ca="1" si="11"/>
        <v>0.7</v>
      </c>
      <c r="E42">
        <f t="shared" ca="1" si="12"/>
        <v>1.86</v>
      </c>
      <c r="F42" cm="1">
        <f t="array" aca="1" ref="F42" ca="1">INDIRECT("q"&amp;RANDBETWEEN(20,38))</f>
        <v>60</v>
      </c>
      <c r="G42">
        <f t="shared" ca="1" si="13"/>
        <v>35</v>
      </c>
      <c r="H42" t="str" cm="1">
        <f t="array" aca="1" ref="H42" ca="1">IF(OR(B42="主干路",B42="次干路"),_xlfn.IFS(F42=40,_xlfn.IFS(G42&gt;=25,"畅通",AND(G42&gt;=20,G42&lt;25),"轻度拥堵",AND(G42&gt;=15,G42&lt;20),"中度拥堵",AND(G42&gt;=0,G42&lt;15),"严重拥堵"),F42&lt;40,_xlfn.IFS(G42&gt;=25,"畅通",AND(G42&gt;=20,G42&lt;25),"轻度拥堵",AND(G42&gt;=10,G42&lt;20),"中度拥堵",AND(G42&gt;=0,G42&lt;10),"严重拥堵"),F42=50,_xlfn.IFS(G42&gt;=30,"畅通",AND(G42&gt;=25,G42&lt;30),"轻度拥堵",AND(G42&gt;=15,G42&lt;25),"中度拥堵",AND(G42&gt;=0,G42&lt;15),"严重拥堵"),F42=60,_xlfn.IFS(G42&gt;=35,"畅通",AND(G42&gt;=30,G42&lt;35),"轻度拥堵",AND(G42&gt;=20,G42&lt;30),"中度拥堵",AND(G42&gt;=0,G42&lt;20),"严重拥堵"),F42=70,_xlfn.IFS(G42&gt;=40,"畅通",AND(G42&gt;=30,G42&lt;40),"轻度拥堵",AND(G42&gt;=20,G42&lt;30),"中度拥堵",AND(G42&gt;=0,G42&lt;20),"严重拥堵"),F42=80,_xlfn.IFS(G42&gt;=45,"畅通",AND(G42&gt;=30,G42&lt;45),"轻度拥堵",AND(G42&gt;=20,G42&lt;30),"中度拥堵",AND(G42&gt;=0,G42&lt;20),"严重拥堵")),_xlfn.IFS(F42&lt;60,_xlfn.IFS(G42&gt;=40,"畅通",AND(G42&gt;=30,G42&lt;40),"轻度拥堵",AND(G42&gt;=20,G42&lt;30),"中度拥堵",AND(G42&gt;=0,G42&lt;20),"严重拥堵"),F42=60,_xlfn.IFS(G42&gt;=40,"畅通",AND(G42&gt;=30,G42&lt;40),"轻度拥堵",AND(G42&gt;=20,G42&lt;30),"中度拥堵",AND(G42&gt;=0,G42&lt;20),"严重拥堵"),F42=70,_xlfn.IFS(G42&gt;=45,"畅通",AND(G42&gt;=20,G42&lt;25),"轻度拥堵",AND(G42&gt;=10,G42&lt;20),"中度拥堵",AND(G42&gt;=0,G42&lt;10),"严重拥堵"),F42=80,_xlfn.IFS(G42&gt;=50,"畅通",AND(G42&gt;=35,G42&lt;50),"轻度拥堵",AND(G42&gt;=20,G42&lt;35),"中度拥堵",AND(G42&gt;=0,G42&lt;20),"严重拥堵"),F42=90,_xlfn.IFS(G42&gt;=55,"畅通",AND(G42&gt;=35,G42&lt;55),"轻度拥堵",AND(G42&gt;=20,G42&lt;35),"中度拥堵",AND(G42&gt;=0,G42&lt;20),"严重拥堵"),F42=100,_xlfn.IFS(G42&gt;=60,"畅通",AND(G42&gt;=40,G42&lt;60),"轻度拥堵",AND(G42&gt;=20,G42&lt;40),"中度拥堵",AND(G42&gt;=0,G42&lt;20),"严重拥堵"),F42=110,_xlfn.IFS(G42&gt;=65,"畅通",AND(G42&gt;=45,G42&lt;65),"轻度拥堵",AND(G42&gt;=25,G42&lt;45),"中度拥堵",AND(G42&gt;=0,G42&lt;25),"严重拥堵"),F42=120,_xlfn.IFS(G42&gt;=70,"畅通",AND(G42&gt;=50,G42&lt;70),"轻度拥堵",AND(G42&gt;=30,G42&lt;50),"中度拥堵",AND(G42&gt;=0,G42&lt;30),"严重拥堵")))</f>
        <v>畅通</v>
      </c>
    </row>
    <row r="43" spans="1:17" x14ac:dyDescent="0.2">
      <c r="A43">
        <v>42</v>
      </c>
      <c r="B43" t="str" cm="1">
        <f t="array" aca="1" ref="B43" ca="1">INDIRECT("s"&amp;RANDBETWEEN(22,23))</f>
        <v>次干路</v>
      </c>
      <c r="C43">
        <f t="shared" ca="1" si="10"/>
        <v>107</v>
      </c>
      <c r="D43">
        <f t="shared" ca="1" si="11"/>
        <v>1.9</v>
      </c>
      <c r="E43">
        <f t="shared" ca="1" si="12"/>
        <v>40.659999999999997</v>
      </c>
      <c r="F43" cm="1">
        <f t="array" aca="1" ref="F43" ca="1">INDIRECT("q"&amp;RANDBETWEEN(20,38))</f>
        <v>60</v>
      </c>
      <c r="G43">
        <f t="shared" ca="1" si="13"/>
        <v>5</v>
      </c>
      <c r="H43" t="str" cm="1">
        <f t="array" aca="1" ref="H43" ca="1">IF(OR(B43="主干路",B43="次干路"),_xlfn.IFS(F43=40,_xlfn.IFS(G43&gt;=25,"畅通",AND(G43&gt;=20,G43&lt;25),"轻度拥堵",AND(G43&gt;=15,G43&lt;20),"中度拥堵",AND(G43&gt;=0,G43&lt;15),"严重拥堵"),F43&lt;40,_xlfn.IFS(G43&gt;=25,"畅通",AND(G43&gt;=20,G43&lt;25),"轻度拥堵",AND(G43&gt;=10,G43&lt;20),"中度拥堵",AND(G43&gt;=0,G43&lt;10),"严重拥堵"),F43=50,_xlfn.IFS(G43&gt;=30,"畅通",AND(G43&gt;=25,G43&lt;30),"轻度拥堵",AND(G43&gt;=15,G43&lt;25),"中度拥堵",AND(G43&gt;=0,G43&lt;15),"严重拥堵"),F43=60,_xlfn.IFS(G43&gt;=35,"畅通",AND(G43&gt;=30,G43&lt;35),"轻度拥堵",AND(G43&gt;=20,G43&lt;30),"中度拥堵",AND(G43&gt;=0,G43&lt;20),"严重拥堵"),F43=70,_xlfn.IFS(G43&gt;=40,"畅通",AND(G43&gt;=30,G43&lt;40),"轻度拥堵",AND(G43&gt;=20,G43&lt;30),"中度拥堵",AND(G43&gt;=0,G43&lt;20),"严重拥堵"),F43=80,_xlfn.IFS(G43&gt;=45,"畅通",AND(G43&gt;=30,G43&lt;45),"轻度拥堵",AND(G43&gt;=20,G43&lt;30),"中度拥堵",AND(G43&gt;=0,G43&lt;20),"严重拥堵")),_xlfn.IFS(F43&lt;60,_xlfn.IFS(G43&gt;=40,"畅通",AND(G43&gt;=30,G43&lt;40),"轻度拥堵",AND(G43&gt;=20,G43&lt;30),"中度拥堵",AND(G43&gt;=0,G43&lt;20),"严重拥堵"),F43=60,_xlfn.IFS(G43&gt;=40,"畅通",AND(G43&gt;=30,G43&lt;40),"轻度拥堵",AND(G43&gt;=20,G43&lt;30),"中度拥堵",AND(G43&gt;=0,G43&lt;20),"严重拥堵"),F43=70,_xlfn.IFS(G43&gt;=45,"畅通",AND(G43&gt;=20,G43&lt;25),"轻度拥堵",AND(G43&gt;=10,G43&lt;20),"中度拥堵",AND(G43&gt;=0,G43&lt;10),"严重拥堵"),F43=80,_xlfn.IFS(G43&gt;=50,"畅通",AND(G43&gt;=35,G43&lt;50),"轻度拥堵",AND(G43&gt;=20,G43&lt;35),"中度拥堵",AND(G43&gt;=0,G43&lt;20),"严重拥堵"),F43=90,_xlfn.IFS(G43&gt;=55,"畅通",AND(G43&gt;=35,G43&lt;55),"轻度拥堵",AND(G43&gt;=20,G43&lt;35),"中度拥堵",AND(G43&gt;=0,G43&lt;20),"严重拥堵"),F43=100,_xlfn.IFS(G43&gt;=60,"畅通",AND(G43&gt;=40,G43&lt;60),"轻度拥堵",AND(G43&gt;=20,G43&lt;40),"中度拥堵",AND(G43&gt;=0,G43&lt;20),"严重拥堵"),F43=110,_xlfn.IFS(G43&gt;=65,"畅通",AND(G43&gt;=45,G43&lt;65),"轻度拥堵",AND(G43&gt;=25,G43&lt;45),"中度拥堵",AND(G43&gt;=0,G43&lt;25),"严重拥堵"),F43=120,_xlfn.IFS(G43&gt;=70,"畅通",AND(G43&gt;=50,G43&lt;70),"轻度拥堵",AND(G43&gt;=30,G43&lt;50),"中度拥堵",AND(G43&gt;=0,G43&lt;30),"严重拥堵")))</f>
        <v>严重拥堵</v>
      </c>
    </row>
    <row r="44" spans="1:17" x14ac:dyDescent="0.2">
      <c r="A44">
        <v>43</v>
      </c>
      <c r="B44" t="str" cm="1">
        <f t="array" aca="1" ref="B44" ca="1">INDIRECT("s"&amp;RANDBETWEEN(22,23))</f>
        <v>主干路</v>
      </c>
      <c r="C44">
        <f t="shared" ca="1" si="10"/>
        <v>160</v>
      </c>
      <c r="D44">
        <f t="shared" ca="1" si="11"/>
        <v>1.3</v>
      </c>
      <c r="E44">
        <f t="shared" ca="1" si="12"/>
        <v>13.87</v>
      </c>
      <c r="F44" cm="1">
        <f t="array" aca="1" ref="F44" ca="1">INDIRECT("q"&amp;RANDBETWEEN(20,38))</f>
        <v>60</v>
      </c>
      <c r="G44">
        <f t="shared" ca="1" si="13"/>
        <v>15</v>
      </c>
      <c r="H44" t="str" cm="1">
        <f t="array" aca="1" ref="H44" ca="1">IF(OR(B44="主干路",B44="次干路"),_xlfn.IFS(F44=40,_xlfn.IFS(G44&gt;=25,"畅通",AND(G44&gt;=20,G44&lt;25),"轻度拥堵",AND(G44&gt;=15,G44&lt;20),"中度拥堵",AND(G44&gt;=0,G44&lt;15),"严重拥堵"),F44&lt;40,_xlfn.IFS(G44&gt;=25,"畅通",AND(G44&gt;=20,G44&lt;25),"轻度拥堵",AND(G44&gt;=10,G44&lt;20),"中度拥堵",AND(G44&gt;=0,G44&lt;10),"严重拥堵"),F44=50,_xlfn.IFS(G44&gt;=30,"畅通",AND(G44&gt;=25,G44&lt;30),"轻度拥堵",AND(G44&gt;=15,G44&lt;25),"中度拥堵",AND(G44&gt;=0,G44&lt;15),"严重拥堵"),F44=60,_xlfn.IFS(G44&gt;=35,"畅通",AND(G44&gt;=30,G44&lt;35),"轻度拥堵",AND(G44&gt;=20,G44&lt;30),"中度拥堵",AND(G44&gt;=0,G44&lt;20),"严重拥堵"),F44=70,_xlfn.IFS(G44&gt;=40,"畅通",AND(G44&gt;=30,G44&lt;40),"轻度拥堵",AND(G44&gt;=20,G44&lt;30),"中度拥堵",AND(G44&gt;=0,G44&lt;20),"严重拥堵"),F44=80,_xlfn.IFS(G44&gt;=45,"畅通",AND(G44&gt;=30,G44&lt;45),"轻度拥堵",AND(G44&gt;=20,G44&lt;30),"中度拥堵",AND(G44&gt;=0,G44&lt;20),"严重拥堵")),_xlfn.IFS(F44&lt;60,_xlfn.IFS(G44&gt;=40,"畅通",AND(G44&gt;=30,G44&lt;40),"轻度拥堵",AND(G44&gt;=20,G44&lt;30),"中度拥堵",AND(G44&gt;=0,G44&lt;20),"严重拥堵"),F44=60,_xlfn.IFS(G44&gt;=40,"畅通",AND(G44&gt;=30,G44&lt;40),"轻度拥堵",AND(G44&gt;=20,G44&lt;30),"中度拥堵",AND(G44&gt;=0,G44&lt;20),"严重拥堵"),F44=70,_xlfn.IFS(G44&gt;=45,"畅通",AND(G44&gt;=20,G44&lt;25),"轻度拥堵",AND(G44&gt;=10,G44&lt;20),"中度拥堵",AND(G44&gt;=0,G44&lt;10),"严重拥堵"),F44=80,_xlfn.IFS(G44&gt;=50,"畅通",AND(G44&gt;=35,G44&lt;50),"轻度拥堵",AND(G44&gt;=20,G44&lt;35),"中度拥堵",AND(G44&gt;=0,G44&lt;20),"严重拥堵"),F44=90,_xlfn.IFS(G44&gt;=55,"畅通",AND(G44&gt;=35,G44&lt;55),"轻度拥堵",AND(G44&gt;=20,G44&lt;35),"中度拥堵",AND(G44&gt;=0,G44&lt;20),"严重拥堵"),F44=100,_xlfn.IFS(G44&gt;=60,"畅通",AND(G44&gt;=40,G44&lt;60),"轻度拥堵",AND(G44&gt;=20,G44&lt;40),"中度拥堵",AND(G44&gt;=0,G44&lt;20),"严重拥堵"),F44=110,_xlfn.IFS(G44&gt;=65,"畅通",AND(G44&gt;=45,G44&lt;65),"轻度拥堵",AND(G44&gt;=25,G44&lt;45),"中度拥堵",AND(G44&gt;=0,G44&lt;25),"严重拥堵"),F44=120,_xlfn.IFS(G44&gt;=70,"畅通",AND(G44&gt;=50,G44&lt;70),"轻度拥堵",AND(G44&gt;=30,G44&lt;50),"中度拥堵",AND(G44&gt;=0,G44&lt;30),"严重拥堵")))</f>
        <v>严重拥堵</v>
      </c>
    </row>
    <row r="45" spans="1:17" x14ac:dyDescent="0.2">
      <c r="A45">
        <v>44</v>
      </c>
      <c r="B45" t="str" cm="1">
        <f t="array" aca="1" ref="B45" ca="1">INDIRECT("s"&amp;RANDBETWEEN(22,23))</f>
        <v>主干路</v>
      </c>
      <c r="C45">
        <f t="shared" ca="1" si="10"/>
        <v>152</v>
      </c>
      <c r="D45">
        <f t="shared" ca="1" si="11"/>
        <v>2.7</v>
      </c>
      <c r="E45">
        <f t="shared" ca="1" si="12"/>
        <v>7.6</v>
      </c>
      <c r="F45" cm="1">
        <f t="array" aca="1" ref="F45" ca="1">INDIRECT("q"&amp;RANDBETWEEN(20,38))</f>
        <v>60</v>
      </c>
      <c r="G45">
        <f t="shared" ca="1" si="13"/>
        <v>54</v>
      </c>
      <c r="H45" t="str" cm="1">
        <f t="array" aca="1" ref="H45" ca="1">IF(OR(B45="主干路",B45="次干路"),_xlfn.IFS(F45=40,_xlfn.IFS(G45&gt;=25,"畅通",AND(G45&gt;=20,G45&lt;25),"轻度拥堵",AND(G45&gt;=15,G45&lt;20),"中度拥堵",AND(G45&gt;=0,G45&lt;15),"严重拥堵"),F45&lt;40,_xlfn.IFS(G45&gt;=25,"畅通",AND(G45&gt;=20,G45&lt;25),"轻度拥堵",AND(G45&gt;=10,G45&lt;20),"中度拥堵",AND(G45&gt;=0,G45&lt;10),"严重拥堵"),F45=50,_xlfn.IFS(G45&gt;=30,"畅通",AND(G45&gt;=25,G45&lt;30),"轻度拥堵",AND(G45&gt;=15,G45&lt;25),"中度拥堵",AND(G45&gt;=0,G45&lt;15),"严重拥堵"),F45=60,_xlfn.IFS(G45&gt;=35,"畅通",AND(G45&gt;=30,G45&lt;35),"轻度拥堵",AND(G45&gt;=20,G45&lt;30),"中度拥堵",AND(G45&gt;=0,G45&lt;20),"严重拥堵"),F45=70,_xlfn.IFS(G45&gt;=40,"畅通",AND(G45&gt;=30,G45&lt;40),"轻度拥堵",AND(G45&gt;=20,G45&lt;30),"中度拥堵",AND(G45&gt;=0,G45&lt;20),"严重拥堵"),F45=80,_xlfn.IFS(G45&gt;=45,"畅通",AND(G45&gt;=30,G45&lt;45),"轻度拥堵",AND(G45&gt;=20,G45&lt;30),"中度拥堵",AND(G45&gt;=0,G45&lt;20),"严重拥堵")),_xlfn.IFS(F45&lt;60,_xlfn.IFS(G45&gt;=40,"畅通",AND(G45&gt;=30,G45&lt;40),"轻度拥堵",AND(G45&gt;=20,G45&lt;30),"中度拥堵",AND(G45&gt;=0,G45&lt;20),"严重拥堵"),F45=60,_xlfn.IFS(G45&gt;=40,"畅通",AND(G45&gt;=30,G45&lt;40),"轻度拥堵",AND(G45&gt;=20,G45&lt;30),"中度拥堵",AND(G45&gt;=0,G45&lt;20),"严重拥堵"),F45=70,_xlfn.IFS(G45&gt;=45,"畅通",AND(G45&gt;=20,G45&lt;25),"轻度拥堵",AND(G45&gt;=10,G45&lt;20),"中度拥堵",AND(G45&gt;=0,G45&lt;10),"严重拥堵"),F45=80,_xlfn.IFS(G45&gt;=50,"畅通",AND(G45&gt;=35,G45&lt;50),"轻度拥堵",AND(G45&gt;=20,G45&lt;35),"中度拥堵",AND(G45&gt;=0,G45&lt;20),"严重拥堵"),F45=90,_xlfn.IFS(G45&gt;=55,"畅通",AND(G45&gt;=35,G45&lt;55),"轻度拥堵",AND(G45&gt;=20,G45&lt;35),"中度拥堵",AND(G45&gt;=0,G45&lt;20),"严重拥堵"),F45=100,_xlfn.IFS(G45&gt;=60,"畅通",AND(G45&gt;=40,G45&lt;60),"轻度拥堵",AND(G45&gt;=20,G45&lt;40),"中度拥堵",AND(G45&gt;=0,G45&lt;20),"严重拥堵"),F45=110,_xlfn.IFS(G45&gt;=65,"畅通",AND(G45&gt;=45,G45&lt;65),"轻度拥堵",AND(G45&gt;=25,G45&lt;45),"中度拥堵",AND(G45&gt;=0,G45&lt;25),"严重拥堵"),F45=120,_xlfn.IFS(G45&gt;=70,"畅通",AND(G45&gt;=50,G45&lt;70),"轻度拥堵",AND(G45&gt;=30,G45&lt;50),"中度拥堵",AND(G45&gt;=0,G45&lt;30),"严重拥堵")))</f>
        <v>畅通</v>
      </c>
    </row>
    <row r="46" spans="1:17" x14ac:dyDescent="0.2">
      <c r="A46">
        <v>45</v>
      </c>
      <c r="B46" t="str" cm="1">
        <f t="array" aca="1" ref="B46" ca="1">INDIRECT("s"&amp;RANDBETWEEN(22,23))</f>
        <v>次干路</v>
      </c>
      <c r="C46">
        <f t="shared" ca="1" si="10"/>
        <v>130</v>
      </c>
      <c r="D46">
        <f t="shared" ca="1" si="11"/>
        <v>0.5</v>
      </c>
      <c r="E46">
        <f t="shared" ca="1" si="12"/>
        <v>1.1200000000000001</v>
      </c>
      <c r="F46" cm="1">
        <f t="array" aca="1" ref="F46" ca="1">INDIRECT("q"&amp;RANDBETWEEN(20,38))</f>
        <v>60</v>
      </c>
      <c r="G46">
        <f t="shared" ca="1" si="13"/>
        <v>58</v>
      </c>
      <c r="H46" t="str" cm="1">
        <f t="array" aca="1" ref="H46" ca="1">IF(OR(B46="主干路",B46="次干路"),_xlfn.IFS(F46=40,_xlfn.IFS(G46&gt;=25,"畅通",AND(G46&gt;=20,G46&lt;25),"轻度拥堵",AND(G46&gt;=15,G46&lt;20),"中度拥堵",AND(G46&gt;=0,G46&lt;15),"严重拥堵"),F46&lt;40,_xlfn.IFS(G46&gt;=25,"畅通",AND(G46&gt;=20,G46&lt;25),"轻度拥堵",AND(G46&gt;=10,G46&lt;20),"中度拥堵",AND(G46&gt;=0,G46&lt;10),"严重拥堵"),F46=50,_xlfn.IFS(G46&gt;=30,"畅通",AND(G46&gt;=25,G46&lt;30),"轻度拥堵",AND(G46&gt;=15,G46&lt;25),"中度拥堵",AND(G46&gt;=0,G46&lt;15),"严重拥堵"),F46=60,_xlfn.IFS(G46&gt;=35,"畅通",AND(G46&gt;=30,G46&lt;35),"轻度拥堵",AND(G46&gt;=20,G46&lt;30),"中度拥堵",AND(G46&gt;=0,G46&lt;20),"严重拥堵"),F46=70,_xlfn.IFS(G46&gt;=40,"畅通",AND(G46&gt;=30,G46&lt;40),"轻度拥堵",AND(G46&gt;=20,G46&lt;30),"中度拥堵",AND(G46&gt;=0,G46&lt;20),"严重拥堵"),F46=80,_xlfn.IFS(G46&gt;=45,"畅通",AND(G46&gt;=30,G46&lt;45),"轻度拥堵",AND(G46&gt;=20,G46&lt;30),"中度拥堵",AND(G46&gt;=0,G46&lt;20),"严重拥堵")),_xlfn.IFS(F46&lt;60,_xlfn.IFS(G46&gt;=40,"畅通",AND(G46&gt;=30,G46&lt;40),"轻度拥堵",AND(G46&gt;=20,G46&lt;30),"中度拥堵",AND(G46&gt;=0,G46&lt;20),"严重拥堵"),F46=60,_xlfn.IFS(G46&gt;=40,"畅通",AND(G46&gt;=30,G46&lt;40),"轻度拥堵",AND(G46&gt;=20,G46&lt;30),"中度拥堵",AND(G46&gt;=0,G46&lt;20),"严重拥堵"),F46=70,_xlfn.IFS(G46&gt;=45,"畅通",AND(G46&gt;=20,G46&lt;25),"轻度拥堵",AND(G46&gt;=10,G46&lt;20),"中度拥堵",AND(G46&gt;=0,G46&lt;10),"严重拥堵"),F46=80,_xlfn.IFS(G46&gt;=50,"畅通",AND(G46&gt;=35,G46&lt;50),"轻度拥堵",AND(G46&gt;=20,G46&lt;35),"中度拥堵",AND(G46&gt;=0,G46&lt;20),"严重拥堵"),F46=90,_xlfn.IFS(G46&gt;=55,"畅通",AND(G46&gt;=35,G46&lt;55),"轻度拥堵",AND(G46&gt;=20,G46&lt;35),"中度拥堵",AND(G46&gt;=0,G46&lt;20),"严重拥堵"),F46=100,_xlfn.IFS(G46&gt;=60,"畅通",AND(G46&gt;=40,G46&lt;60),"轻度拥堵",AND(G46&gt;=20,G46&lt;40),"中度拥堵",AND(G46&gt;=0,G46&lt;20),"严重拥堵"),F46=110,_xlfn.IFS(G46&gt;=65,"畅通",AND(G46&gt;=45,G46&lt;65),"轻度拥堵",AND(G46&gt;=25,G46&lt;45),"中度拥堵",AND(G46&gt;=0,G46&lt;25),"严重拥堵"),F46=120,_xlfn.IFS(G46&gt;=70,"畅通",AND(G46&gt;=50,G46&lt;70),"轻度拥堵",AND(G46&gt;=30,G46&lt;50),"中度拥堵",AND(G46&gt;=0,G46&lt;30),"严重拥堵")))</f>
        <v>畅通</v>
      </c>
    </row>
    <row r="47" spans="1:17" x14ac:dyDescent="0.2">
      <c r="A47">
        <v>46</v>
      </c>
      <c r="B47" t="str" cm="1">
        <f t="array" aca="1" ref="B47" ca="1">INDIRECT("s"&amp;RANDBETWEEN(22,23))</f>
        <v>主干路</v>
      </c>
      <c r="C47">
        <f t="shared" ca="1" si="10"/>
        <v>115</v>
      </c>
      <c r="D47">
        <f t="shared" ca="1" si="11"/>
        <v>1.5</v>
      </c>
      <c r="E47">
        <f t="shared" ca="1" si="12"/>
        <v>2.61</v>
      </c>
      <c r="F47" cm="1">
        <f t="array" aca="1" ref="F47" ca="1">INDIRECT("q"&amp;RANDBETWEEN(20,38))</f>
        <v>80</v>
      </c>
      <c r="G47">
        <f t="shared" ca="1" si="13"/>
        <v>66</v>
      </c>
      <c r="H47" t="str" cm="1">
        <f t="array" aca="1" ref="H47" ca="1">IF(OR(B47="主干路",B47="次干路"),_xlfn.IFS(F47=40,_xlfn.IFS(G47&gt;=25,"畅通",AND(G47&gt;=20,G47&lt;25),"轻度拥堵",AND(G47&gt;=15,G47&lt;20),"中度拥堵",AND(G47&gt;=0,G47&lt;15),"严重拥堵"),F47&lt;40,_xlfn.IFS(G47&gt;=25,"畅通",AND(G47&gt;=20,G47&lt;25),"轻度拥堵",AND(G47&gt;=10,G47&lt;20),"中度拥堵",AND(G47&gt;=0,G47&lt;10),"严重拥堵"),F47=50,_xlfn.IFS(G47&gt;=30,"畅通",AND(G47&gt;=25,G47&lt;30),"轻度拥堵",AND(G47&gt;=15,G47&lt;25),"中度拥堵",AND(G47&gt;=0,G47&lt;15),"严重拥堵"),F47=60,_xlfn.IFS(G47&gt;=35,"畅通",AND(G47&gt;=30,G47&lt;35),"轻度拥堵",AND(G47&gt;=20,G47&lt;30),"中度拥堵",AND(G47&gt;=0,G47&lt;20),"严重拥堵"),F47=70,_xlfn.IFS(G47&gt;=40,"畅通",AND(G47&gt;=30,G47&lt;40),"轻度拥堵",AND(G47&gt;=20,G47&lt;30),"中度拥堵",AND(G47&gt;=0,G47&lt;20),"严重拥堵"),F47=80,_xlfn.IFS(G47&gt;=45,"畅通",AND(G47&gt;=30,G47&lt;45),"轻度拥堵",AND(G47&gt;=20,G47&lt;30),"中度拥堵",AND(G47&gt;=0,G47&lt;20),"严重拥堵")),_xlfn.IFS(F47&lt;60,_xlfn.IFS(G47&gt;=40,"畅通",AND(G47&gt;=30,G47&lt;40),"轻度拥堵",AND(G47&gt;=20,G47&lt;30),"中度拥堵",AND(G47&gt;=0,G47&lt;20),"严重拥堵"),F47=60,_xlfn.IFS(G47&gt;=40,"畅通",AND(G47&gt;=30,G47&lt;40),"轻度拥堵",AND(G47&gt;=20,G47&lt;30),"中度拥堵",AND(G47&gt;=0,G47&lt;20),"严重拥堵"),F47=70,_xlfn.IFS(G47&gt;=45,"畅通",AND(G47&gt;=20,G47&lt;25),"轻度拥堵",AND(G47&gt;=10,G47&lt;20),"中度拥堵",AND(G47&gt;=0,G47&lt;10),"严重拥堵"),F47=80,_xlfn.IFS(G47&gt;=50,"畅通",AND(G47&gt;=35,G47&lt;50),"轻度拥堵",AND(G47&gt;=20,G47&lt;35),"中度拥堵",AND(G47&gt;=0,G47&lt;20),"严重拥堵"),F47=90,_xlfn.IFS(G47&gt;=55,"畅通",AND(G47&gt;=35,G47&lt;55),"轻度拥堵",AND(G47&gt;=20,G47&lt;35),"中度拥堵",AND(G47&gt;=0,G47&lt;20),"严重拥堵"),F47=100,_xlfn.IFS(G47&gt;=60,"畅通",AND(G47&gt;=40,G47&lt;60),"轻度拥堵",AND(G47&gt;=20,G47&lt;40),"中度拥堵",AND(G47&gt;=0,G47&lt;20),"严重拥堵"),F47=110,_xlfn.IFS(G47&gt;=65,"畅通",AND(G47&gt;=45,G47&lt;65),"轻度拥堵",AND(G47&gt;=25,G47&lt;45),"中度拥堵",AND(G47&gt;=0,G47&lt;25),"严重拥堵"),F47=120,_xlfn.IFS(G47&gt;=70,"畅通",AND(G47&gt;=50,G47&lt;70),"轻度拥堵",AND(G47&gt;=30,G47&lt;50),"中度拥堵",AND(G47&gt;=0,G47&lt;30),"严重拥堵")))</f>
        <v>畅通</v>
      </c>
    </row>
    <row r="48" spans="1:17" x14ac:dyDescent="0.2">
      <c r="A48">
        <v>47</v>
      </c>
      <c r="B48" t="str" cm="1">
        <f t="array" aca="1" ref="B48" ca="1">INDIRECT("s"&amp;RANDBETWEEN(22,23))</f>
        <v>次干路</v>
      </c>
      <c r="C48">
        <f t="shared" ca="1" si="10"/>
        <v>145</v>
      </c>
      <c r="D48">
        <f t="shared" ca="1" si="11"/>
        <v>1.9</v>
      </c>
      <c r="E48">
        <f t="shared" ca="1" si="12"/>
        <v>7.45</v>
      </c>
      <c r="F48" cm="1">
        <f t="array" aca="1" ref="F48" ca="1">INDIRECT("q"&amp;RANDBETWEEN(20,38))</f>
        <v>60</v>
      </c>
      <c r="G48">
        <f t="shared" ca="1" si="13"/>
        <v>37</v>
      </c>
      <c r="H48" t="str" cm="1">
        <f t="array" aca="1" ref="H48" ca="1">IF(OR(B48="主干路",B48="次干路"),_xlfn.IFS(F48=40,_xlfn.IFS(G48&gt;=25,"畅通",AND(G48&gt;=20,G48&lt;25),"轻度拥堵",AND(G48&gt;=15,G48&lt;20),"中度拥堵",AND(G48&gt;=0,G48&lt;15),"严重拥堵"),F48&lt;40,_xlfn.IFS(G48&gt;=25,"畅通",AND(G48&gt;=20,G48&lt;25),"轻度拥堵",AND(G48&gt;=10,G48&lt;20),"中度拥堵",AND(G48&gt;=0,G48&lt;10),"严重拥堵"),F48=50,_xlfn.IFS(G48&gt;=30,"畅通",AND(G48&gt;=25,G48&lt;30),"轻度拥堵",AND(G48&gt;=15,G48&lt;25),"中度拥堵",AND(G48&gt;=0,G48&lt;15),"严重拥堵"),F48=60,_xlfn.IFS(G48&gt;=35,"畅通",AND(G48&gt;=30,G48&lt;35),"轻度拥堵",AND(G48&gt;=20,G48&lt;30),"中度拥堵",AND(G48&gt;=0,G48&lt;20),"严重拥堵"),F48=70,_xlfn.IFS(G48&gt;=40,"畅通",AND(G48&gt;=30,G48&lt;40),"轻度拥堵",AND(G48&gt;=20,G48&lt;30),"中度拥堵",AND(G48&gt;=0,G48&lt;20),"严重拥堵"),F48=80,_xlfn.IFS(G48&gt;=45,"畅通",AND(G48&gt;=30,G48&lt;45),"轻度拥堵",AND(G48&gt;=20,G48&lt;30),"中度拥堵",AND(G48&gt;=0,G48&lt;20),"严重拥堵")),_xlfn.IFS(F48&lt;60,_xlfn.IFS(G48&gt;=40,"畅通",AND(G48&gt;=30,G48&lt;40),"轻度拥堵",AND(G48&gt;=20,G48&lt;30),"中度拥堵",AND(G48&gt;=0,G48&lt;20),"严重拥堵"),F48=60,_xlfn.IFS(G48&gt;=40,"畅通",AND(G48&gt;=30,G48&lt;40),"轻度拥堵",AND(G48&gt;=20,G48&lt;30),"中度拥堵",AND(G48&gt;=0,G48&lt;20),"严重拥堵"),F48=70,_xlfn.IFS(G48&gt;=45,"畅通",AND(G48&gt;=20,G48&lt;25),"轻度拥堵",AND(G48&gt;=10,G48&lt;20),"中度拥堵",AND(G48&gt;=0,G48&lt;10),"严重拥堵"),F48=80,_xlfn.IFS(G48&gt;=50,"畅通",AND(G48&gt;=35,G48&lt;50),"轻度拥堵",AND(G48&gt;=20,G48&lt;35),"中度拥堵",AND(G48&gt;=0,G48&lt;20),"严重拥堵"),F48=90,_xlfn.IFS(G48&gt;=55,"畅通",AND(G48&gt;=35,G48&lt;55),"轻度拥堵",AND(G48&gt;=20,G48&lt;35),"中度拥堵",AND(G48&gt;=0,G48&lt;20),"严重拥堵"),F48=100,_xlfn.IFS(G48&gt;=60,"畅通",AND(G48&gt;=40,G48&lt;60),"轻度拥堵",AND(G48&gt;=20,G48&lt;40),"中度拥堵",AND(G48&gt;=0,G48&lt;20),"严重拥堵"),F48=110,_xlfn.IFS(G48&gt;=65,"畅通",AND(G48&gt;=45,G48&lt;65),"轻度拥堵",AND(G48&gt;=25,G48&lt;45),"中度拥堵",AND(G48&gt;=0,G48&lt;25),"严重拥堵"),F48=120,_xlfn.IFS(G48&gt;=70,"畅通",AND(G48&gt;=50,G48&lt;70),"轻度拥堵",AND(G48&gt;=30,G48&lt;50),"中度拥堵",AND(G48&gt;=0,G48&lt;30),"严重拥堵")))</f>
        <v>畅通</v>
      </c>
    </row>
    <row r="49" spans="1:8" x14ac:dyDescent="0.2">
      <c r="A49">
        <v>48</v>
      </c>
      <c r="B49" t="str" cm="1">
        <f t="array" aca="1" ref="B49" ca="1">INDIRECT("s"&amp;RANDBETWEEN(22,23))</f>
        <v>次干路</v>
      </c>
      <c r="C49">
        <f t="shared" ca="1" si="10"/>
        <v>121</v>
      </c>
      <c r="D49">
        <f t="shared" ca="1" si="11"/>
        <v>2.9</v>
      </c>
      <c r="E49">
        <f t="shared" ca="1" si="12"/>
        <v>175.45</v>
      </c>
      <c r="F49" cm="1">
        <f t="array" aca="1" ref="F49" ca="1">INDIRECT("q"&amp;RANDBETWEEN(20,38))</f>
        <v>40</v>
      </c>
      <c r="G49">
        <f t="shared" ca="1" si="13"/>
        <v>2</v>
      </c>
      <c r="H49" t="str" cm="1">
        <f t="array" aca="1" ref="H49" ca="1">IF(OR(B49="主干路",B49="次干路"),_xlfn.IFS(F49=40,_xlfn.IFS(G49&gt;=25,"畅通",AND(G49&gt;=20,G49&lt;25),"轻度拥堵",AND(G49&gt;=15,G49&lt;20),"中度拥堵",AND(G49&gt;=0,G49&lt;15),"严重拥堵"),F49&lt;40,_xlfn.IFS(G49&gt;=25,"畅通",AND(G49&gt;=20,G49&lt;25),"轻度拥堵",AND(G49&gt;=10,G49&lt;20),"中度拥堵",AND(G49&gt;=0,G49&lt;10),"严重拥堵"),F49=50,_xlfn.IFS(G49&gt;=30,"畅通",AND(G49&gt;=25,G49&lt;30),"轻度拥堵",AND(G49&gt;=15,G49&lt;25),"中度拥堵",AND(G49&gt;=0,G49&lt;15),"严重拥堵"),F49=60,_xlfn.IFS(G49&gt;=35,"畅通",AND(G49&gt;=30,G49&lt;35),"轻度拥堵",AND(G49&gt;=20,G49&lt;30),"中度拥堵",AND(G49&gt;=0,G49&lt;20),"严重拥堵"),F49=70,_xlfn.IFS(G49&gt;=40,"畅通",AND(G49&gt;=30,G49&lt;40),"轻度拥堵",AND(G49&gt;=20,G49&lt;30),"中度拥堵",AND(G49&gt;=0,G49&lt;20),"严重拥堵"),F49=80,_xlfn.IFS(G49&gt;=45,"畅通",AND(G49&gt;=30,G49&lt;45),"轻度拥堵",AND(G49&gt;=20,G49&lt;30),"中度拥堵",AND(G49&gt;=0,G49&lt;20),"严重拥堵")),_xlfn.IFS(F49&lt;60,_xlfn.IFS(G49&gt;=40,"畅通",AND(G49&gt;=30,G49&lt;40),"轻度拥堵",AND(G49&gt;=20,G49&lt;30),"中度拥堵",AND(G49&gt;=0,G49&lt;20),"严重拥堵"),F49=60,_xlfn.IFS(G49&gt;=40,"畅通",AND(G49&gt;=30,G49&lt;40),"轻度拥堵",AND(G49&gt;=20,G49&lt;30),"中度拥堵",AND(G49&gt;=0,G49&lt;20),"严重拥堵"),F49=70,_xlfn.IFS(G49&gt;=45,"畅通",AND(G49&gt;=20,G49&lt;25),"轻度拥堵",AND(G49&gt;=10,G49&lt;20),"中度拥堵",AND(G49&gt;=0,G49&lt;10),"严重拥堵"),F49=80,_xlfn.IFS(G49&gt;=50,"畅通",AND(G49&gt;=35,G49&lt;50),"轻度拥堵",AND(G49&gt;=20,G49&lt;35),"中度拥堵",AND(G49&gt;=0,G49&lt;20),"严重拥堵"),F49=90,_xlfn.IFS(G49&gt;=55,"畅通",AND(G49&gt;=35,G49&lt;55),"轻度拥堵",AND(G49&gt;=20,G49&lt;35),"中度拥堵",AND(G49&gt;=0,G49&lt;20),"严重拥堵"),F49=100,_xlfn.IFS(G49&gt;=60,"畅通",AND(G49&gt;=40,G49&lt;60),"轻度拥堵",AND(G49&gt;=20,G49&lt;40),"中度拥堵",AND(G49&gt;=0,G49&lt;20),"严重拥堵"),F49=110,_xlfn.IFS(G49&gt;=65,"畅通",AND(G49&gt;=45,G49&lt;65),"轻度拥堵",AND(G49&gt;=25,G49&lt;45),"中度拥堵",AND(G49&gt;=0,G49&lt;25),"严重拥堵"),F49=120,_xlfn.IFS(G49&gt;=70,"畅通",AND(G49&gt;=50,G49&lt;70),"轻度拥堵",AND(G49&gt;=30,G49&lt;50),"中度拥堵",AND(G49&gt;=0,G49&lt;30),"严重拥堵")))</f>
        <v>严重拥堵</v>
      </c>
    </row>
    <row r="50" spans="1:8" x14ac:dyDescent="0.2">
      <c r="A50">
        <v>49</v>
      </c>
      <c r="B50" t="str" cm="1">
        <f t="array" aca="1" ref="B50" ca="1">INDIRECT("s"&amp;RANDBETWEEN(22,23))</f>
        <v>主干路</v>
      </c>
      <c r="C50">
        <f t="shared" ca="1" si="10"/>
        <v>94</v>
      </c>
      <c r="D50">
        <f t="shared" ca="1" si="11"/>
        <v>2.4</v>
      </c>
      <c r="E50">
        <f t="shared" ca="1" si="12"/>
        <v>5.64</v>
      </c>
      <c r="F50" cm="1">
        <f t="array" aca="1" ref="F50" ca="1">INDIRECT("q"&amp;RANDBETWEEN(20,38))</f>
        <v>40</v>
      </c>
      <c r="G50">
        <f t="shared" ca="1" si="13"/>
        <v>40</v>
      </c>
      <c r="H50" t="str" cm="1">
        <f t="array" aca="1" ref="H50" ca="1">IF(OR(B50="主干路",B50="次干路"),_xlfn.IFS(F50=40,_xlfn.IFS(G50&gt;=25,"畅通",AND(G50&gt;=20,G50&lt;25),"轻度拥堵",AND(G50&gt;=15,G50&lt;20),"中度拥堵",AND(G50&gt;=0,G50&lt;15),"严重拥堵"),F50&lt;40,_xlfn.IFS(G50&gt;=25,"畅通",AND(G50&gt;=20,G50&lt;25),"轻度拥堵",AND(G50&gt;=10,G50&lt;20),"中度拥堵",AND(G50&gt;=0,G50&lt;10),"严重拥堵"),F50=50,_xlfn.IFS(G50&gt;=30,"畅通",AND(G50&gt;=25,G50&lt;30),"轻度拥堵",AND(G50&gt;=15,G50&lt;25),"中度拥堵",AND(G50&gt;=0,G50&lt;15),"严重拥堵"),F50=60,_xlfn.IFS(G50&gt;=35,"畅通",AND(G50&gt;=30,G50&lt;35),"轻度拥堵",AND(G50&gt;=20,G50&lt;30),"中度拥堵",AND(G50&gt;=0,G50&lt;20),"严重拥堵"),F50=70,_xlfn.IFS(G50&gt;=40,"畅通",AND(G50&gt;=30,G50&lt;40),"轻度拥堵",AND(G50&gt;=20,G50&lt;30),"中度拥堵",AND(G50&gt;=0,G50&lt;20),"严重拥堵"),F50=80,_xlfn.IFS(G50&gt;=45,"畅通",AND(G50&gt;=30,G50&lt;45),"轻度拥堵",AND(G50&gt;=20,G50&lt;30),"中度拥堵",AND(G50&gt;=0,G50&lt;20),"严重拥堵")),_xlfn.IFS(F50&lt;60,_xlfn.IFS(G50&gt;=40,"畅通",AND(G50&gt;=30,G50&lt;40),"轻度拥堵",AND(G50&gt;=20,G50&lt;30),"中度拥堵",AND(G50&gt;=0,G50&lt;20),"严重拥堵"),F50=60,_xlfn.IFS(G50&gt;=40,"畅通",AND(G50&gt;=30,G50&lt;40),"轻度拥堵",AND(G50&gt;=20,G50&lt;30),"中度拥堵",AND(G50&gt;=0,G50&lt;20),"严重拥堵"),F50=70,_xlfn.IFS(G50&gt;=45,"畅通",AND(G50&gt;=20,G50&lt;25),"轻度拥堵",AND(G50&gt;=10,G50&lt;20),"中度拥堵",AND(G50&gt;=0,G50&lt;10),"严重拥堵"),F50=80,_xlfn.IFS(G50&gt;=50,"畅通",AND(G50&gt;=35,G50&lt;50),"轻度拥堵",AND(G50&gt;=20,G50&lt;35),"中度拥堵",AND(G50&gt;=0,G50&lt;20),"严重拥堵"),F50=90,_xlfn.IFS(G50&gt;=55,"畅通",AND(G50&gt;=35,G50&lt;55),"轻度拥堵",AND(G50&gt;=20,G50&lt;35),"中度拥堵",AND(G50&gt;=0,G50&lt;20),"严重拥堵"),F50=100,_xlfn.IFS(G50&gt;=60,"畅通",AND(G50&gt;=40,G50&lt;60),"轻度拥堵",AND(G50&gt;=20,G50&lt;40),"中度拥堵",AND(G50&gt;=0,G50&lt;20),"严重拥堵"),F50=110,_xlfn.IFS(G50&gt;=65,"畅通",AND(G50&gt;=45,G50&lt;65),"轻度拥堵",AND(G50&gt;=25,G50&lt;45),"中度拥堵",AND(G50&gt;=0,G50&lt;25),"严重拥堵"),F50=120,_xlfn.IFS(G50&gt;=70,"畅通",AND(G50&gt;=50,G50&lt;70),"轻度拥堵",AND(G50&gt;=30,G50&lt;50),"中度拥堵",AND(G50&gt;=0,G50&lt;30),"严重拥堵")))</f>
        <v>畅通</v>
      </c>
    </row>
    <row r="51" spans="1:8" x14ac:dyDescent="0.2">
      <c r="A51">
        <v>50</v>
      </c>
      <c r="B51" t="str" cm="1">
        <f t="array" aca="1" ref="B51" ca="1">INDIRECT("s"&amp;RANDBETWEEN(22,23))</f>
        <v>主干路</v>
      </c>
      <c r="C51">
        <f t="shared" ca="1" si="10"/>
        <v>137</v>
      </c>
      <c r="D51">
        <f t="shared" ca="1" si="11"/>
        <v>1.2</v>
      </c>
      <c r="E51">
        <f t="shared" ca="1" si="12"/>
        <v>7.15</v>
      </c>
      <c r="F51" cm="1">
        <f t="array" aca="1" ref="F51" ca="1">INDIRECT("q"&amp;RANDBETWEEN(20,38))</f>
        <v>60</v>
      </c>
      <c r="G51">
        <f t="shared" ca="1" si="13"/>
        <v>23</v>
      </c>
      <c r="H51" t="str" cm="1">
        <f t="array" aca="1" ref="H51" ca="1">IF(OR(B51="主干路",B51="次干路"),_xlfn.IFS(F51=40,_xlfn.IFS(G51&gt;=25,"畅通",AND(G51&gt;=20,G51&lt;25),"轻度拥堵",AND(G51&gt;=15,G51&lt;20),"中度拥堵",AND(G51&gt;=0,G51&lt;15),"严重拥堵"),F51&lt;40,_xlfn.IFS(G51&gt;=25,"畅通",AND(G51&gt;=20,G51&lt;25),"轻度拥堵",AND(G51&gt;=10,G51&lt;20),"中度拥堵",AND(G51&gt;=0,G51&lt;10),"严重拥堵"),F51=50,_xlfn.IFS(G51&gt;=30,"畅通",AND(G51&gt;=25,G51&lt;30),"轻度拥堵",AND(G51&gt;=15,G51&lt;25),"中度拥堵",AND(G51&gt;=0,G51&lt;15),"严重拥堵"),F51=60,_xlfn.IFS(G51&gt;=35,"畅通",AND(G51&gt;=30,G51&lt;35),"轻度拥堵",AND(G51&gt;=20,G51&lt;30),"中度拥堵",AND(G51&gt;=0,G51&lt;20),"严重拥堵"),F51=70,_xlfn.IFS(G51&gt;=40,"畅通",AND(G51&gt;=30,G51&lt;40),"轻度拥堵",AND(G51&gt;=20,G51&lt;30),"中度拥堵",AND(G51&gt;=0,G51&lt;20),"严重拥堵"),F51=80,_xlfn.IFS(G51&gt;=45,"畅通",AND(G51&gt;=30,G51&lt;45),"轻度拥堵",AND(G51&gt;=20,G51&lt;30),"中度拥堵",AND(G51&gt;=0,G51&lt;20),"严重拥堵")),_xlfn.IFS(F51&lt;60,_xlfn.IFS(G51&gt;=40,"畅通",AND(G51&gt;=30,G51&lt;40),"轻度拥堵",AND(G51&gt;=20,G51&lt;30),"中度拥堵",AND(G51&gt;=0,G51&lt;20),"严重拥堵"),F51=60,_xlfn.IFS(G51&gt;=40,"畅通",AND(G51&gt;=30,G51&lt;40),"轻度拥堵",AND(G51&gt;=20,G51&lt;30),"中度拥堵",AND(G51&gt;=0,G51&lt;20),"严重拥堵"),F51=70,_xlfn.IFS(G51&gt;=45,"畅通",AND(G51&gt;=20,G51&lt;25),"轻度拥堵",AND(G51&gt;=10,G51&lt;20),"中度拥堵",AND(G51&gt;=0,G51&lt;10),"严重拥堵"),F51=80,_xlfn.IFS(G51&gt;=50,"畅通",AND(G51&gt;=35,G51&lt;50),"轻度拥堵",AND(G51&gt;=20,G51&lt;35),"中度拥堵",AND(G51&gt;=0,G51&lt;20),"严重拥堵"),F51=90,_xlfn.IFS(G51&gt;=55,"畅通",AND(G51&gt;=35,G51&lt;55),"轻度拥堵",AND(G51&gt;=20,G51&lt;35),"中度拥堵",AND(G51&gt;=0,G51&lt;20),"严重拥堵"),F51=100,_xlfn.IFS(G51&gt;=60,"畅通",AND(G51&gt;=40,G51&lt;60),"轻度拥堵",AND(G51&gt;=20,G51&lt;40),"中度拥堵",AND(G51&gt;=0,G51&lt;20),"严重拥堵"),F51=110,_xlfn.IFS(G51&gt;=65,"畅通",AND(G51&gt;=45,G51&lt;65),"轻度拥堵",AND(G51&gt;=25,G51&lt;45),"中度拥堵",AND(G51&gt;=0,G51&lt;25),"严重拥堵"),F51=120,_xlfn.IFS(G51&gt;=70,"畅通",AND(G51&gt;=50,G51&lt;70),"轻度拥堵",AND(G51&gt;=30,G51&lt;50),"中度拥堵",AND(G51&gt;=0,G51&lt;30),"严重拥堵")))</f>
        <v>中度拥堵</v>
      </c>
    </row>
    <row r="52" spans="1:8" x14ac:dyDescent="0.2">
      <c r="A52">
        <v>51</v>
      </c>
      <c r="B52" t="str" cm="1">
        <f t="array" aca="1" ref="B52" ca="1">INDIRECT("s"&amp;RANDBETWEEN(22,23))</f>
        <v>主干路</v>
      </c>
      <c r="C52">
        <f t="shared" ca="1" si="10"/>
        <v>80</v>
      </c>
      <c r="D52">
        <f t="shared" ca="1" si="11"/>
        <v>1.7</v>
      </c>
      <c r="E52">
        <f t="shared" ca="1" si="12"/>
        <v>4.6900000000000004</v>
      </c>
      <c r="F52" cm="1">
        <f t="array" aca="1" ref="F52" ca="1">INDIRECT("q"&amp;RANDBETWEEN(20,38))</f>
        <v>60</v>
      </c>
      <c r="G52">
        <f t="shared" ca="1" si="13"/>
        <v>29</v>
      </c>
      <c r="H52" t="str" cm="1">
        <f t="array" aca="1" ref="H52" ca="1">IF(OR(B52="主干路",B52="次干路"),_xlfn.IFS(F52=40,_xlfn.IFS(G52&gt;=25,"畅通",AND(G52&gt;=20,G52&lt;25),"轻度拥堵",AND(G52&gt;=15,G52&lt;20),"中度拥堵",AND(G52&gt;=0,G52&lt;15),"严重拥堵"),F52&lt;40,_xlfn.IFS(G52&gt;=25,"畅通",AND(G52&gt;=20,G52&lt;25),"轻度拥堵",AND(G52&gt;=10,G52&lt;20),"中度拥堵",AND(G52&gt;=0,G52&lt;10),"严重拥堵"),F52=50,_xlfn.IFS(G52&gt;=30,"畅通",AND(G52&gt;=25,G52&lt;30),"轻度拥堵",AND(G52&gt;=15,G52&lt;25),"中度拥堵",AND(G52&gt;=0,G52&lt;15),"严重拥堵"),F52=60,_xlfn.IFS(G52&gt;=35,"畅通",AND(G52&gt;=30,G52&lt;35),"轻度拥堵",AND(G52&gt;=20,G52&lt;30),"中度拥堵",AND(G52&gt;=0,G52&lt;20),"严重拥堵"),F52=70,_xlfn.IFS(G52&gt;=40,"畅通",AND(G52&gt;=30,G52&lt;40),"轻度拥堵",AND(G52&gt;=20,G52&lt;30),"中度拥堵",AND(G52&gt;=0,G52&lt;20),"严重拥堵"),F52=80,_xlfn.IFS(G52&gt;=45,"畅通",AND(G52&gt;=30,G52&lt;45),"轻度拥堵",AND(G52&gt;=20,G52&lt;30),"中度拥堵",AND(G52&gt;=0,G52&lt;20),"严重拥堵")),_xlfn.IFS(F52&lt;60,_xlfn.IFS(G52&gt;=40,"畅通",AND(G52&gt;=30,G52&lt;40),"轻度拥堵",AND(G52&gt;=20,G52&lt;30),"中度拥堵",AND(G52&gt;=0,G52&lt;20),"严重拥堵"),F52=60,_xlfn.IFS(G52&gt;=40,"畅通",AND(G52&gt;=30,G52&lt;40),"轻度拥堵",AND(G52&gt;=20,G52&lt;30),"中度拥堵",AND(G52&gt;=0,G52&lt;20),"严重拥堵"),F52=70,_xlfn.IFS(G52&gt;=45,"畅通",AND(G52&gt;=20,G52&lt;25),"轻度拥堵",AND(G52&gt;=10,G52&lt;20),"中度拥堵",AND(G52&gt;=0,G52&lt;10),"严重拥堵"),F52=80,_xlfn.IFS(G52&gt;=50,"畅通",AND(G52&gt;=35,G52&lt;50),"轻度拥堵",AND(G52&gt;=20,G52&lt;35),"中度拥堵",AND(G52&gt;=0,G52&lt;20),"严重拥堵"),F52=90,_xlfn.IFS(G52&gt;=55,"畅通",AND(G52&gt;=35,G52&lt;55),"轻度拥堵",AND(G52&gt;=20,G52&lt;35),"中度拥堵",AND(G52&gt;=0,G52&lt;20),"严重拥堵"),F52=100,_xlfn.IFS(G52&gt;=60,"畅通",AND(G52&gt;=40,G52&lt;60),"轻度拥堵",AND(G52&gt;=20,G52&lt;40),"中度拥堵",AND(G52&gt;=0,G52&lt;20),"严重拥堵"),F52=110,_xlfn.IFS(G52&gt;=65,"畅通",AND(G52&gt;=45,G52&lt;65),"轻度拥堵",AND(G52&gt;=25,G52&lt;45),"中度拥堵",AND(G52&gt;=0,G52&lt;25),"严重拥堵"),F52=120,_xlfn.IFS(G52&gt;=70,"畅通",AND(G52&gt;=50,G52&lt;70),"轻度拥堵",AND(G52&gt;=30,G52&lt;50),"中度拥堵",AND(G52&gt;=0,G52&lt;30),"严重拥堵")))</f>
        <v>中度拥堵</v>
      </c>
    </row>
    <row r="53" spans="1:8" x14ac:dyDescent="0.2">
      <c r="A53">
        <v>52</v>
      </c>
      <c r="B53" t="str" cm="1">
        <f t="array" aca="1" ref="B53" ca="1">INDIRECT("s"&amp;RANDBETWEEN(22,23))</f>
        <v>次干路</v>
      </c>
      <c r="C53">
        <f t="shared" ca="1" si="10"/>
        <v>139</v>
      </c>
      <c r="D53">
        <f t="shared" ca="1" si="11"/>
        <v>0.7</v>
      </c>
      <c r="E53">
        <f t="shared" ca="1" si="12"/>
        <v>8.85</v>
      </c>
      <c r="F53" cm="1">
        <f t="array" aca="1" ref="F53" ca="1">INDIRECT("q"&amp;RANDBETWEEN(20,38))</f>
        <v>60</v>
      </c>
      <c r="G53">
        <f t="shared" ca="1" si="13"/>
        <v>11</v>
      </c>
      <c r="H53" t="str" cm="1">
        <f t="array" aca="1" ref="H53" ca="1">IF(OR(B53="主干路",B53="次干路"),_xlfn.IFS(F53=40,_xlfn.IFS(G53&gt;=25,"畅通",AND(G53&gt;=20,G53&lt;25),"轻度拥堵",AND(G53&gt;=15,G53&lt;20),"中度拥堵",AND(G53&gt;=0,G53&lt;15),"严重拥堵"),F53&lt;40,_xlfn.IFS(G53&gt;=25,"畅通",AND(G53&gt;=20,G53&lt;25),"轻度拥堵",AND(G53&gt;=10,G53&lt;20),"中度拥堵",AND(G53&gt;=0,G53&lt;10),"严重拥堵"),F53=50,_xlfn.IFS(G53&gt;=30,"畅通",AND(G53&gt;=25,G53&lt;30),"轻度拥堵",AND(G53&gt;=15,G53&lt;25),"中度拥堵",AND(G53&gt;=0,G53&lt;15),"严重拥堵"),F53=60,_xlfn.IFS(G53&gt;=35,"畅通",AND(G53&gt;=30,G53&lt;35),"轻度拥堵",AND(G53&gt;=20,G53&lt;30),"中度拥堵",AND(G53&gt;=0,G53&lt;20),"严重拥堵"),F53=70,_xlfn.IFS(G53&gt;=40,"畅通",AND(G53&gt;=30,G53&lt;40),"轻度拥堵",AND(G53&gt;=20,G53&lt;30),"中度拥堵",AND(G53&gt;=0,G53&lt;20),"严重拥堵"),F53=80,_xlfn.IFS(G53&gt;=45,"畅通",AND(G53&gt;=30,G53&lt;45),"轻度拥堵",AND(G53&gt;=20,G53&lt;30),"中度拥堵",AND(G53&gt;=0,G53&lt;20),"严重拥堵")),_xlfn.IFS(F53&lt;60,_xlfn.IFS(G53&gt;=40,"畅通",AND(G53&gt;=30,G53&lt;40),"轻度拥堵",AND(G53&gt;=20,G53&lt;30),"中度拥堵",AND(G53&gt;=0,G53&lt;20),"严重拥堵"),F53=60,_xlfn.IFS(G53&gt;=40,"畅通",AND(G53&gt;=30,G53&lt;40),"轻度拥堵",AND(G53&gt;=20,G53&lt;30),"中度拥堵",AND(G53&gt;=0,G53&lt;20),"严重拥堵"),F53=70,_xlfn.IFS(G53&gt;=45,"畅通",AND(G53&gt;=20,G53&lt;25),"轻度拥堵",AND(G53&gt;=10,G53&lt;20),"中度拥堵",AND(G53&gt;=0,G53&lt;10),"严重拥堵"),F53=80,_xlfn.IFS(G53&gt;=50,"畅通",AND(G53&gt;=35,G53&lt;50),"轻度拥堵",AND(G53&gt;=20,G53&lt;35),"中度拥堵",AND(G53&gt;=0,G53&lt;20),"严重拥堵"),F53=90,_xlfn.IFS(G53&gt;=55,"畅通",AND(G53&gt;=35,G53&lt;55),"轻度拥堵",AND(G53&gt;=20,G53&lt;35),"中度拥堵",AND(G53&gt;=0,G53&lt;20),"严重拥堵"),F53=100,_xlfn.IFS(G53&gt;=60,"畅通",AND(G53&gt;=40,G53&lt;60),"轻度拥堵",AND(G53&gt;=20,G53&lt;40),"中度拥堵",AND(G53&gt;=0,G53&lt;20),"严重拥堵"),F53=110,_xlfn.IFS(G53&gt;=65,"畅通",AND(G53&gt;=45,G53&lt;65),"轻度拥堵",AND(G53&gt;=25,G53&lt;45),"中度拥堵",AND(G53&gt;=0,G53&lt;25),"严重拥堵"),F53=120,_xlfn.IFS(G53&gt;=70,"畅通",AND(G53&gt;=50,G53&lt;70),"轻度拥堵",AND(G53&gt;=30,G53&lt;50),"中度拥堵",AND(G53&gt;=0,G53&lt;30),"严重拥堵")))</f>
        <v>严重拥堵</v>
      </c>
    </row>
    <row r="54" spans="1:8" x14ac:dyDescent="0.2">
      <c r="A54">
        <v>53</v>
      </c>
      <c r="B54" t="str" cm="1">
        <f t="array" aca="1" ref="B54" ca="1">INDIRECT("s"&amp;RANDBETWEEN(22,23))</f>
        <v>次干路</v>
      </c>
      <c r="C54">
        <f t="shared" ca="1" si="10"/>
        <v>102</v>
      </c>
      <c r="D54">
        <f t="shared" ca="1" si="11"/>
        <v>2.9</v>
      </c>
      <c r="E54">
        <f t="shared" ca="1" si="12"/>
        <v>7.99</v>
      </c>
      <c r="F54" cm="1">
        <f t="array" aca="1" ref="F54" ca="1">INDIRECT("q"&amp;RANDBETWEEN(20,38))</f>
        <v>60</v>
      </c>
      <c r="G54">
        <f t="shared" ca="1" si="13"/>
        <v>37</v>
      </c>
      <c r="H54" t="str" cm="1">
        <f t="array" aca="1" ref="H54" ca="1">IF(OR(B54="主干路",B54="次干路"),_xlfn.IFS(F54=40,_xlfn.IFS(G54&gt;=25,"畅通",AND(G54&gt;=20,G54&lt;25),"轻度拥堵",AND(G54&gt;=15,G54&lt;20),"中度拥堵",AND(G54&gt;=0,G54&lt;15),"严重拥堵"),F54&lt;40,_xlfn.IFS(G54&gt;=25,"畅通",AND(G54&gt;=20,G54&lt;25),"轻度拥堵",AND(G54&gt;=10,G54&lt;20),"中度拥堵",AND(G54&gt;=0,G54&lt;10),"严重拥堵"),F54=50,_xlfn.IFS(G54&gt;=30,"畅通",AND(G54&gt;=25,G54&lt;30),"轻度拥堵",AND(G54&gt;=15,G54&lt;25),"中度拥堵",AND(G54&gt;=0,G54&lt;15),"严重拥堵"),F54=60,_xlfn.IFS(G54&gt;=35,"畅通",AND(G54&gt;=30,G54&lt;35),"轻度拥堵",AND(G54&gt;=20,G54&lt;30),"中度拥堵",AND(G54&gt;=0,G54&lt;20),"严重拥堵"),F54=70,_xlfn.IFS(G54&gt;=40,"畅通",AND(G54&gt;=30,G54&lt;40),"轻度拥堵",AND(G54&gt;=20,G54&lt;30),"中度拥堵",AND(G54&gt;=0,G54&lt;20),"严重拥堵"),F54=80,_xlfn.IFS(G54&gt;=45,"畅通",AND(G54&gt;=30,G54&lt;45),"轻度拥堵",AND(G54&gt;=20,G54&lt;30),"中度拥堵",AND(G54&gt;=0,G54&lt;20),"严重拥堵")),_xlfn.IFS(F54&lt;60,_xlfn.IFS(G54&gt;=40,"畅通",AND(G54&gt;=30,G54&lt;40),"轻度拥堵",AND(G54&gt;=20,G54&lt;30),"中度拥堵",AND(G54&gt;=0,G54&lt;20),"严重拥堵"),F54=60,_xlfn.IFS(G54&gt;=40,"畅通",AND(G54&gt;=30,G54&lt;40),"轻度拥堵",AND(G54&gt;=20,G54&lt;30),"中度拥堵",AND(G54&gt;=0,G54&lt;20),"严重拥堵"),F54=70,_xlfn.IFS(G54&gt;=45,"畅通",AND(G54&gt;=20,G54&lt;25),"轻度拥堵",AND(G54&gt;=10,G54&lt;20),"中度拥堵",AND(G54&gt;=0,G54&lt;10),"严重拥堵"),F54=80,_xlfn.IFS(G54&gt;=50,"畅通",AND(G54&gt;=35,G54&lt;50),"轻度拥堵",AND(G54&gt;=20,G54&lt;35),"中度拥堵",AND(G54&gt;=0,G54&lt;20),"严重拥堵"),F54=90,_xlfn.IFS(G54&gt;=55,"畅通",AND(G54&gt;=35,G54&lt;55),"轻度拥堵",AND(G54&gt;=20,G54&lt;35),"中度拥堵",AND(G54&gt;=0,G54&lt;20),"严重拥堵"),F54=100,_xlfn.IFS(G54&gt;=60,"畅通",AND(G54&gt;=40,G54&lt;60),"轻度拥堵",AND(G54&gt;=20,G54&lt;40),"中度拥堵",AND(G54&gt;=0,G54&lt;20),"严重拥堵"),F54=110,_xlfn.IFS(G54&gt;=65,"畅通",AND(G54&gt;=45,G54&lt;65),"轻度拥堵",AND(G54&gt;=25,G54&lt;45),"中度拥堵",AND(G54&gt;=0,G54&lt;25),"严重拥堵"),F54=120,_xlfn.IFS(G54&gt;=70,"畅通",AND(G54&gt;=50,G54&lt;70),"轻度拥堵",AND(G54&gt;=30,G54&lt;50),"中度拥堵",AND(G54&gt;=0,G54&lt;30),"严重拥堵")))</f>
        <v>畅通</v>
      </c>
    </row>
    <row r="55" spans="1:8" x14ac:dyDescent="0.2">
      <c r="A55">
        <v>54</v>
      </c>
      <c r="B55" t="str" cm="1">
        <f t="array" aca="1" ref="B55" ca="1">INDIRECT("s"&amp;RANDBETWEEN(22,23))</f>
        <v>主干路</v>
      </c>
      <c r="C55">
        <f t="shared" ca="1" si="10"/>
        <v>159</v>
      </c>
      <c r="D55">
        <f t="shared" ca="1" si="11"/>
        <v>1.6</v>
      </c>
      <c r="E55">
        <f t="shared" ca="1" si="12"/>
        <v>31.8</v>
      </c>
      <c r="F55" cm="1">
        <f t="array" aca="1" ref="F55" ca="1">INDIRECT("q"&amp;RANDBETWEEN(20,38))</f>
        <v>60</v>
      </c>
      <c r="G55">
        <f t="shared" ca="1" si="13"/>
        <v>8</v>
      </c>
      <c r="H55" t="str" cm="1">
        <f t="array" aca="1" ref="H55" ca="1">IF(OR(B55="主干路",B55="次干路"),_xlfn.IFS(F55=40,_xlfn.IFS(G55&gt;=25,"畅通",AND(G55&gt;=20,G55&lt;25),"轻度拥堵",AND(G55&gt;=15,G55&lt;20),"中度拥堵",AND(G55&gt;=0,G55&lt;15),"严重拥堵"),F55&lt;40,_xlfn.IFS(G55&gt;=25,"畅通",AND(G55&gt;=20,G55&lt;25),"轻度拥堵",AND(G55&gt;=10,G55&lt;20),"中度拥堵",AND(G55&gt;=0,G55&lt;10),"严重拥堵"),F55=50,_xlfn.IFS(G55&gt;=30,"畅通",AND(G55&gt;=25,G55&lt;30),"轻度拥堵",AND(G55&gt;=15,G55&lt;25),"中度拥堵",AND(G55&gt;=0,G55&lt;15),"严重拥堵"),F55=60,_xlfn.IFS(G55&gt;=35,"畅通",AND(G55&gt;=30,G55&lt;35),"轻度拥堵",AND(G55&gt;=20,G55&lt;30),"中度拥堵",AND(G55&gt;=0,G55&lt;20),"严重拥堵"),F55=70,_xlfn.IFS(G55&gt;=40,"畅通",AND(G55&gt;=30,G55&lt;40),"轻度拥堵",AND(G55&gt;=20,G55&lt;30),"中度拥堵",AND(G55&gt;=0,G55&lt;20),"严重拥堵"),F55=80,_xlfn.IFS(G55&gt;=45,"畅通",AND(G55&gt;=30,G55&lt;45),"轻度拥堵",AND(G55&gt;=20,G55&lt;30),"中度拥堵",AND(G55&gt;=0,G55&lt;20),"严重拥堵")),_xlfn.IFS(F55&lt;60,_xlfn.IFS(G55&gt;=40,"畅通",AND(G55&gt;=30,G55&lt;40),"轻度拥堵",AND(G55&gt;=20,G55&lt;30),"中度拥堵",AND(G55&gt;=0,G55&lt;20),"严重拥堵"),F55=60,_xlfn.IFS(G55&gt;=40,"畅通",AND(G55&gt;=30,G55&lt;40),"轻度拥堵",AND(G55&gt;=20,G55&lt;30),"中度拥堵",AND(G55&gt;=0,G55&lt;20),"严重拥堵"),F55=70,_xlfn.IFS(G55&gt;=45,"畅通",AND(G55&gt;=20,G55&lt;25),"轻度拥堵",AND(G55&gt;=10,G55&lt;20),"中度拥堵",AND(G55&gt;=0,G55&lt;10),"严重拥堵"),F55=80,_xlfn.IFS(G55&gt;=50,"畅通",AND(G55&gt;=35,G55&lt;50),"轻度拥堵",AND(G55&gt;=20,G55&lt;35),"中度拥堵",AND(G55&gt;=0,G55&lt;20),"严重拥堵"),F55=90,_xlfn.IFS(G55&gt;=55,"畅通",AND(G55&gt;=35,G55&lt;55),"轻度拥堵",AND(G55&gt;=20,G55&lt;35),"中度拥堵",AND(G55&gt;=0,G55&lt;20),"严重拥堵"),F55=100,_xlfn.IFS(G55&gt;=60,"畅通",AND(G55&gt;=40,G55&lt;60),"轻度拥堵",AND(G55&gt;=20,G55&lt;40),"中度拥堵",AND(G55&gt;=0,G55&lt;20),"严重拥堵"),F55=110,_xlfn.IFS(G55&gt;=65,"畅通",AND(G55&gt;=45,G55&lt;65),"轻度拥堵",AND(G55&gt;=25,G55&lt;45),"中度拥堵",AND(G55&gt;=0,G55&lt;25),"严重拥堵"),F55=120,_xlfn.IFS(G55&gt;=70,"畅通",AND(G55&gt;=50,G55&lt;70),"轻度拥堵",AND(G55&gt;=30,G55&lt;50),"中度拥堵",AND(G55&gt;=0,G55&lt;30),"严重拥堵")))</f>
        <v>严重拥堵</v>
      </c>
    </row>
    <row r="56" spans="1:8" x14ac:dyDescent="0.2">
      <c r="A56">
        <v>55</v>
      </c>
      <c r="B56" t="str" cm="1">
        <f t="array" aca="1" ref="B56" ca="1">INDIRECT("s"&amp;RANDBETWEEN(22,23))</f>
        <v>次干路</v>
      </c>
      <c r="C56">
        <f t="shared" ca="1" si="10"/>
        <v>104</v>
      </c>
      <c r="D56">
        <f t="shared" ca="1" si="11"/>
        <v>1.1000000000000001</v>
      </c>
      <c r="E56">
        <f t="shared" ca="1" si="12"/>
        <v>5.45</v>
      </c>
      <c r="F56" cm="1">
        <f t="array" aca="1" ref="F56" ca="1">INDIRECT("q"&amp;RANDBETWEEN(20,38))</f>
        <v>70</v>
      </c>
      <c r="G56">
        <f t="shared" ca="1" si="13"/>
        <v>21</v>
      </c>
      <c r="H56" t="str" cm="1">
        <f t="array" aca="1" ref="H56" ca="1">IF(OR(B56="主干路",B56="次干路"),_xlfn.IFS(F56=40,_xlfn.IFS(G56&gt;=25,"畅通",AND(G56&gt;=20,G56&lt;25),"轻度拥堵",AND(G56&gt;=15,G56&lt;20),"中度拥堵",AND(G56&gt;=0,G56&lt;15),"严重拥堵"),F56&lt;40,_xlfn.IFS(G56&gt;=25,"畅通",AND(G56&gt;=20,G56&lt;25),"轻度拥堵",AND(G56&gt;=10,G56&lt;20),"中度拥堵",AND(G56&gt;=0,G56&lt;10),"严重拥堵"),F56=50,_xlfn.IFS(G56&gt;=30,"畅通",AND(G56&gt;=25,G56&lt;30),"轻度拥堵",AND(G56&gt;=15,G56&lt;25),"中度拥堵",AND(G56&gt;=0,G56&lt;15),"严重拥堵"),F56=60,_xlfn.IFS(G56&gt;=35,"畅通",AND(G56&gt;=30,G56&lt;35),"轻度拥堵",AND(G56&gt;=20,G56&lt;30),"中度拥堵",AND(G56&gt;=0,G56&lt;20),"严重拥堵"),F56=70,_xlfn.IFS(G56&gt;=40,"畅通",AND(G56&gt;=30,G56&lt;40),"轻度拥堵",AND(G56&gt;=20,G56&lt;30),"中度拥堵",AND(G56&gt;=0,G56&lt;20),"严重拥堵"),F56=80,_xlfn.IFS(G56&gt;=45,"畅通",AND(G56&gt;=30,G56&lt;45),"轻度拥堵",AND(G56&gt;=20,G56&lt;30),"中度拥堵",AND(G56&gt;=0,G56&lt;20),"严重拥堵")),_xlfn.IFS(F56&lt;60,_xlfn.IFS(G56&gt;=40,"畅通",AND(G56&gt;=30,G56&lt;40),"轻度拥堵",AND(G56&gt;=20,G56&lt;30),"中度拥堵",AND(G56&gt;=0,G56&lt;20),"严重拥堵"),F56=60,_xlfn.IFS(G56&gt;=40,"畅通",AND(G56&gt;=30,G56&lt;40),"轻度拥堵",AND(G56&gt;=20,G56&lt;30),"中度拥堵",AND(G56&gt;=0,G56&lt;20),"严重拥堵"),F56=70,_xlfn.IFS(G56&gt;=45,"畅通",AND(G56&gt;=20,G56&lt;25),"轻度拥堵",AND(G56&gt;=10,G56&lt;20),"中度拥堵",AND(G56&gt;=0,G56&lt;10),"严重拥堵"),F56=80,_xlfn.IFS(G56&gt;=50,"畅通",AND(G56&gt;=35,G56&lt;50),"轻度拥堵",AND(G56&gt;=20,G56&lt;35),"中度拥堵",AND(G56&gt;=0,G56&lt;20),"严重拥堵"),F56=90,_xlfn.IFS(G56&gt;=55,"畅通",AND(G56&gt;=35,G56&lt;55),"轻度拥堵",AND(G56&gt;=20,G56&lt;35),"中度拥堵",AND(G56&gt;=0,G56&lt;20),"严重拥堵"),F56=100,_xlfn.IFS(G56&gt;=60,"畅通",AND(G56&gt;=40,G56&lt;60),"轻度拥堵",AND(G56&gt;=20,G56&lt;40),"中度拥堵",AND(G56&gt;=0,G56&lt;20),"严重拥堵"),F56=110,_xlfn.IFS(G56&gt;=65,"畅通",AND(G56&gt;=45,G56&lt;65),"轻度拥堵",AND(G56&gt;=25,G56&lt;45),"中度拥堵",AND(G56&gt;=0,G56&lt;25),"严重拥堵"),F56=120,_xlfn.IFS(G56&gt;=70,"畅通",AND(G56&gt;=50,G56&lt;70),"轻度拥堵",AND(G56&gt;=30,G56&lt;50),"中度拥堵",AND(G56&gt;=0,G56&lt;30),"严重拥堵")))</f>
        <v>中度拥堵</v>
      </c>
    </row>
    <row r="57" spans="1:8" x14ac:dyDescent="0.2">
      <c r="A57">
        <v>56</v>
      </c>
      <c r="B57" t="str" cm="1">
        <f t="array" aca="1" ref="B57" ca="1">INDIRECT("s"&amp;RANDBETWEEN(22,23))</f>
        <v>主干路</v>
      </c>
      <c r="C57">
        <f t="shared" ca="1" si="10"/>
        <v>122</v>
      </c>
      <c r="D57">
        <f t="shared" ca="1" si="11"/>
        <v>2.6</v>
      </c>
      <c r="E57">
        <f t="shared" ca="1" si="12"/>
        <v>5.77</v>
      </c>
      <c r="F57" cm="1">
        <f t="array" aca="1" ref="F57" ca="1">INDIRECT("q"&amp;RANDBETWEEN(20,38))</f>
        <v>60</v>
      </c>
      <c r="G57">
        <f t="shared" ca="1" si="13"/>
        <v>55</v>
      </c>
      <c r="H57" t="str" cm="1">
        <f t="array" aca="1" ref="H57" ca="1">IF(OR(B57="主干路",B57="次干路"),_xlfn.IFS(F57=40,_xlfn.IFS(G57&gt;=25,"畅通",AND(G57&gt;=20,G57&lt;25),"轻度拥堵",AND(G57&gt;=15,G57&lt;20),"中度拥堵",AND(G57&gt;=0,G57&lt;15),"严重拥堵"),F57&lt;40,_xlfn.IFS(G57&gt;=25,"畅通",AND(G57&gt;=20,G57&lt;25),"轻度拥堵",AND(G57&gt;=10,G57&lt;20),"中度拥堵",AND(G57&gt;=0,G57&lt;10),"严重拥堵"),F57=50,_xlfn.IFS(G57&gt;=30,"畅通",AND(G57&gt;=25,G57&lt;30),"轻度拥堵",AND(G57&gt;=15,G57&lt;25),"中度拥堵",AND(G57&gt;=0,G57&lt;15),"严重拥堵"),F57=60,_xlfn.IFS(G57&gt;=35,"畅通",AND(G57&gt;=30,G57&lt;35),"轻度拥堵",AND(G57&gt;=20,G57&lt;30),"中度拥堵",AND(G57&gt;=0,G57&lt;20),"严重拥堵"),F57=70,_xlfn.IFS(G57&gt;=40,"畅通",AND(G57&gt;=30,G57&lt;40),"轻度拥堵",AND(G57&gt;=20,G57&lt;30),"中度拥堵",AND(G57&gt;=0,G57&lt;20),"严重拥堵"),F57=80,_xlfn.IFS(G57&gt;=45,"畅通",AND(G57&gt;=30,G57&lt;45),"轻度拥堵",AND(G57&gt;=20,G57&lt;30),"中度拥堵",AND(G57&gt;=0,G57&lt;20),"严重拥堵")),_xlfn.IFS(F57&lt;60,_xlfn.IFS(G57&gt;=40,"畅通",AND(G57&gt;=30,G57&lt;40),"轻度拥堵",AND(G57&gt;=20,G57&lt;30),"中度拥堵",AND(G57&gt;=0,G57&lt;20),"严重拥堵"),F57=60,_xlfn.IFS(G57&gt;=40,"畅通",AND(G57&gt;=30,G57&lt;40),"轻度拥堵",AND(G57&gt;=20,G57&lt;30),"中度拥堵",AND(G57&gt;=0,G57&lt;20),"严重拥堵"),F57=70,_xlfn.IFS(G57&gt;=45,"畅通",AND(G57&gt;=20,G57&lt;25),"轻度拥堵",AND(G57&gt;=10,G57&lt;20),"中度拥堵",AND(G57&gt;=0,G57&lt;10),"严重拥堵"),F57=80,_xlfn.IFS(G57&gt;=50,"畅通",AND(G57&gt;=35,G57&lt;50),"轻度拥堵",AND(G57&gt;=20,G57&lt;35),"中度拥堵",AND(G57&gt;=0,G57&lt;20),"严重拥堵"),F57=90,_xlfn.IFS(G57&gt;=55,"畅通",AND(G57&gt;=35,G57&lt;55),"轻度拥堵",AND(G57&gt;=20,G57&lt;35),"中度拥堵",AND(G57&gt;=0,G57&lt;20),"严重拥堵"),F57=100,_xlfn.IFS(G57&gt;=60,"畅通",AND(G57&gt;=40,G57&lt;60),"轻度拥堵",AND(G57&gt;=20,G57&lt;40),"中度拥堵",AND(G57&gt;=0,G57&lt;20),"严重拥堵"),F57=110,_xlfn.IFS(G57&gt;=65,"畅通",AND(G57&gt;=45,G57&lt;65),"轻度拥堵",AND(G57&gt;=25,G57&lt;45),"中度拥堵",AND(G57&gt;=0,G57&lt;25),"严重拥堵"),F57=120,_xlfn.IFS(G57&gt;=70,"畅通",AND(G57&gt;=50,G57&lt;70),"轻度拥堵",AND(G57&gt;=30,G57&lt;50),"中度拥堵",AND(G57&gt;=0,G57&lt;30),"严重拥堵")))</f>
        <v>畅通</v>
      </c>
    </row>
    <row r="58" spans="1:8" x14ac:dyDescent="0.2">
      <c r="A58">
        <v>57</v>
      </c>
      <c r="B58" t="str" cm="1">
        <f t="array" aca="1" ref="B58" ca="1">INDIRECT("s"&amp;RANDBETWEEN(22,23))</f>
        <v>主干路</v>
      </c>
      <c r="C58">
        <f t="shared" ca="1" si="10"/>
        <v>165</v>
      </c>
      <c r="D58">
        <f t="shared" ca="1" si="11"/>
        <v>0.8</v>
      </c>
      <c r="E58">
        <f t="shared" ca="1" si="12"/>
        <v>3.57</v>
      </c>
      <c r="F58" cm="1">
        <f t="array" aca="1" ref="F58" ca="1">INDIRECT("q"&amp;RANDBETWEEN(20,38))</f>
        <v>60</v>
      </c>
      <c r="G58">
        <f t="shared" ca="1" si="13"/>
        <v>37</v>
      </c>
      <c r="H58" t="str" cm="1">
        <f t="array" aca="1" ref="H58" ca="1">IF(OR(B58="主干路",B58="次干路"),_xlfn.IFS(F58=40,_xlfn.IFS(G58&gt;=25,"畅通",AND(G58&gt;=20,G58&lt;25),"轻度拥堵",AND(G58&gt;=15,G58&lt;20),"中度拥堵",AND(G58&gt;=0,G58&lt;15),"严重拥堵"),F58&lt;40,_xlfn.IFS(G58&gt;=25,"畅通",AND(G58&gt;=20,G58&lt;25),"轻度拥堵",AND(G58&gt;=10,G58&lt;20),"中度拥堵",AND(G58&gt;=0,G58&lt;10),"严重拥堵"),F58=50,_xlfn.IFS(G58&gt;=30,"畅通",AND(G58&gt;=25,G58&lt;30),"轻度拥堵",AND(G58&gt;=15,G58&lt;25),"中度拥堵",AND(G58&gt;=0,G58&lt;15),"严重拥堵"),F58=60,_xlfn.IFS(G58&gt;=35,"畅通",AND(G58&gt;=30,G58&lt;35),"轻度拥堵",AND(G58&gt;=20,G58&lt;30),"中度拥堵",AND(G58&gt;=0,G58&lt;20),"严重拥堵"),F58=70,_xlfn.IFS(G58&gt;=40,"畅通",AND(G58&gt;=30,G58&lt;40),"轻度拥堵",AND(G58&gt;=20,G58&lt;30),"中度拥堵",AND(G58&gt;=0,G58&lt;20),"严重拥堵"),F58=80,_xlfn.IFS(G58&gt;=45,"畅通",AND(G58&gt;=30,G58&lt;45),"轻度拥堵",AND(G58&gt;=20,G58&lt;30),"中度拥堵",AND(G58&gt;=0,G58&lt;20),"严重拥堵")),_xlfn.IFS(F58&lt;60,_xlfn.IFS(G58&gt;=40,"畅通",AND(G58&gt;=30,G58&lt;40),"轻度拥堵",AND(G58&gt;=20,G58&lt;30),"中度拥堵",AND(G58&gt;=0,G58&lt;20),"严重拥堵"),F58=60,_xlfn.IFS(G58&gt;=40,"畅通",AND(G58&gt;=30,G58&lt;40),"轻度拥堵",AND(G58&gt;=20,G58&lt;30),"中度拥堵",AND(G58&gt;=0,G58&lt;20),"严重拥堵"),F58=70,_xlfn.IFS(G58&gt;=45,"畅通",AND(G58&gt;=20,G58&lt;25),"轻度拥堵",AND(G58&gt;=10,G58&lt;20),"中度拥堵",AND(G58&gt;=0,G58&lt;10),"严重拥堵"),F58=80,_xlfn.IFS(G58&gt;=50,"畅通",AND(G58&gt;=35,G58&lt;50),"轻度拥堵",AND(G58&gt;=20,G58&lt;35),"中度拥堵",AND(G58&gt;=0,G58&lt;20),"严重拥堵"),F58=90,_xlfn.IFS(G58&gt;=55,"畅通",AND(G58&gt;=35,G58&lt;55),"轻度拥堵",AND(G58&gt;=20,G58&lt;35),"中度拥堵",AND(G58&gt;=0,G58&lt;20),"严重拥堵"),F58=100,_xlfn.IFS(G58&gt;=60,"畅通",AND(G58&gt;=40,G58&lt;60),"轻度拥堵",AND(G58&gt;=20,G58&lt;40),"中度拥堵",AND(G58&gt;=0,G58&lt;20),"严重拥堵"),F58=110,_xlfn.IFS(G58&gt;=65,"畅通",AND(G58&gt;=45,G58&lt;65),"轻度拥堵",AND(G58&gt;=25,G58&lt;45),"中度拥堵",AND(G58&gt;=0,G58&lt;25),"严重拥堵"),F58=120,_xlfn.IFS(G58&gt;=70,"畅通",AND(G58&gt;=50,G58&lt;70),"轻度拥堵",AND(G58&gt;=30,G58&lt;50),"中度拥堵",AND(G58&gt;=0,G58&lt;30),"严重拥堵")))</f>
        <v>畅通</v>
      </c>
    </row>
    <row r="59" spans="1:8" x14ac:dyDescent="0.2">
      <c r="A59">
        <v>58</v>
      </c>
      <c r="B59" t="str" cm="1">
        <f t="array" aca="1" ref="B59" ca="1">INDIRECT("s"&amp;RANDBETWEEN(22,23))</f>
        <v>主干路</v>
      </c>
      <c r="C59">
        <f t="shared" ca="1" si="10"/>
        <v>168</v>
      </c>
      <c r="D59">
        <f t="shared" ca="1" si="11"/>
        <v>1.9</v>
      </c>
      <c r="E59">
        <f t="shared" ca="1" si="12"/>
        <v>22.8</v>
      </c>
      <c r="F59" cm="1">
        <f t="array" aca="1" ref="F59" ca="1">INDIRECT("q"&amp;RANDBETWEEN(20,38))</f>
        <v>50</v>
      </c>
      <c r="G59">
        <f t="shared" ca="1" si="13"/>
        <v>14</v>
      </c>
      <c r="H59" t="str" cm="1">
        <f t="array" aca="1" ref="H59" ca="1">IF(OR(B59="主干路",B59="次干路"),_xlfn.IFS(F59=40,_xlfn.IFS(G59&gt;=25,"畅通",AND(G59&gt;=20,G59&lt;25),"轻度拥堵",AND(G59&gt;=15,G59&lt;20),"中度拥堵",AND(G59&gt;=0,G59&lt;15),"严重拥堵"),F59&lt;40,_xlfn.IFS(G59&gt;=25,"畅通",AND(G59&gt;=20,G59&lt;25),"轻度拥堵",AND(G59&gt;=10,G59&lt;20),"中度拥堵",AND(G59&gt;=0,G59&lt;10),"严重拥堵"),F59=50,_xlfn.IFS(G59&gt;=30,"畅通",AND(G59&gt;=25,G59&lt;30),"轻度拥堵",AND(G59&gt;=15,G59&lt;25),"中度拥堵",AND(G59&gt;=0,G59&lt;15),"严重拥堵"),F59=60,_xlfn.IFS(G59&gt;=35,"畅通",AND(G59&gt;=30,G59&lt;35),"轻度拥堵",AND(G59&gt;=20,G59&lt;30),"中度拥堵",AND(G59&gt;=0,G59&lt;20),"严重拥堵"),F59=70,_xlfn.IFS(G59&gt;=40,"畅通",AND(G59&gt;=30,G59&lt;40),"轻度拥堵",AND(G59&gt;=20,G59&lt;30),"中度拥堵",AND(G59&gt;=0,G59&lt;20),"严重拥堵"),F59=80,_xlfn.IFS(G59&gt;=45,"畅通",AND(G59&gt;=30,G59&lt;45),"轻度拥堵",AND(G59&gt;=20,G59&lt;30),"中度拥堵",AND(G59&gt;=0,G59&lt;20),"严重拥堵")),_xlfn.IFS(F59&lt;60,_xlfn.IFS(G59&gt;=40,"畅通",AND(G59&gt;=30,G59&lt;40),"轻度拥堵",AND(G59&gt;=20,G59&lt;30),"中度拥堵",AND(G59&gt;=0,G59&lt;20),"严重拥堵"),F59=60,_xlfn.IFS(G59&gt;=40,"畅通",AND(G59&gt;=30,G59&lt;40),"轻度拥堵",AND(G59&gt;=20,G59&lt;30),"中度拥堵",AND(G59&gt;=0,G59&lt;20),"严重拥堵"),F59=70,_xlfn.IFS(G59&gt;=45,"畅通",AND(G59&gt;=20,G59&lt;25),"轻度拥堵",AND(G59&gt;=10,G59&lt;20),"中度拥堵",AND(G59&gt;=0,G59&lt;10),"严重拥堵"),F59=80,_xlfn.IFS(G59&gt;=50,"畅通",AND(G59&gt;=35,G59&lt;50),"轻度拥堵",AND(G59&gt;=20,G59&lt;35),"中度拥堵",AND(G59&gt;=0,G59&lt;20),"严重拥堵"),F59=90,_xlfn.IFS(G59&gt;=55,"畅通",AND(G59&gt;=35,G59&lt;55),"轻度拥堵",AND(G59&gt;=20,G59&lt;35),"中度拥堵",AND(G59&gt;=0,G59&lt;20),"严重拥堵"),F59=100,_xlfn.IFS(G59&gt;=60,"畅通",AND(G59&gt;=40,G59&lt;60),"轻度拥堵",AND(G59&gt;=20,G59&lt;40),"中度拥堵",AND(G59&gt;=0,G59&lt;20),"严重拥堵"),F59=110,_xlfn.IFS(G59&gt;=65,"畅通",AND(G59&gt;=45,G59&lt;65),"轻度拥堵",AND(G59&gt;=25,G59&lt;45),"中度拥堵",AND(G59&gt;=0,G59&lt;25),"严重拥堵"),F59=120,_xlfn.IFS(G59&gt;=70,"畅通",AND(G59&gt;=50,G59&lt;70),"轻度拥堵",AND(G59&gt;=30,G59&lt;50),"中度拥堵",AND(G59&gt;=0,G59&lt;30),"严重拥堵")))</f>
        <v>严重拥堵</v>
      </c>
    </row>
    <row r="60" spans="1:8" x14ac:dyDescent="0.2">
      <c r="A60">
        <v>59</v>
      </c>
      <c r="B60" t="str" cm="1">
        <f t="array" aca="1" ref="B60" ca="1">INDIRECT("s"&amp;RANDBETWEEN(22,23))</f>
        <v>主干路</v>
      </c>
      <c r="C60">
        <f t="shared" ca="1" si="10"/>
        <v>119</v>
      </c>
      <c r="D60">
        <f t="shared" ca="1" si="11"/>
        <v>3</v>
      </c>
      <c r="E60">
        <f t="shared" ca="1" si="12"/>
        <v>10.82</v>
      </c>
      <c r="F60" cm="1">
        <f t="array" aca="1" ref="F60" ca="1">INDIRECT("q"&amp;RANDBETWEEN(20,38))</f>
        <v>60</v>
      </c>
      <c r="G60">
        <f t="shared" ca="1" si="13"/>
        <v>33</v>
      </c>
      <c r="H60" t="str" cm="1">
        <f t="array" aca="1" ref="H60" ca="1">IF(OR(B60="主干路",B60="次干路"),_xlfn.IFS(F60=40,_xlfn.IFS(G60&gt;=25,"畅通",AND(G60&gt;=20,G60&lt;25),"轻度拥堵",AND(G60&gt;=15,G60&lt;20),"中度拥堵",AND(G60&gt;=0,G60&lt;15),"严重拥堵"),F60&lt;40,_xlfn.IFS(G60&gt;=25,"畅通",AND(G60&gt;=20,G60&lt;25),"轻度拥堵",AND(G60&gt;=10,G60&lt;20),"中度拥堵",AND(G60&gt;=0,G60&lt;10),"严重拥堵"),F60=50,_xlfn.IFS(G60&gt;=30,"畅通",AND(G60&gt;=25,G60&lt;30),"轻度拥堵",AND(G60&gt;=15,G60&lt;25),"中度拥堵",AND(G60&gt;=0,G60&lt;15),"严重拥堵"),F60=60,_xlfn.IFS(G60&gt;=35,"畅通",AND(G60&gt;=30,G60&lt;35),"轻度拥堵",AND(G60&gt;=20,G60&lt;30),"中度拥堵",AND(G60&gt;=0,G60&lt;20),"严重拥堵"),F60=70,_xlfn.IFS(G60&gt;=40,"畅通",AND(G60&gt;=30,G60&lt;40),"轻度拥堵",AND(G60&gt;=20,G60&lt;30),"中度拥堵",AND(G60&gt;=0,G60&lt;20),"严重拥堵"),F60=80,_xlfn.IFS(G60&gt;=45,"畅通",AND(G60&gt;=30,G60&lt;45),"轻度拥堵",AND(G60&gt;=20,G60&lt;30),"中度拥堵",AND(G60&gt;=0,G60&lt;20),"严重拥堵")),_xlfn.IFS(F60&lt;60,_xlfn.IFS(G60&gt;=40,"畅通",AND(G60&gt;=30,G60&lt;40),"轻度拥堵",AND(G60&gt;=20,G60&lt;30),"中度拥堵",AND(G60&gt;=0,G60&lt;20),"严重拥堵"),F60=60,_xlfn.IFS(G60&gt;=40,"畅通",AND(G60&gt;=30,G60&lt;40),"轻度拥堵",AND(G60&gt;=20,G60&lt;30),"中度拥堵",AND(G60&gt;=0,G60&lt;20),"严重拥堵"),F60=70,_xlfn.IFS(G60&gt;=45,"畅通",AND(G60&gt;=20,G60&lt;25),"轻度拥堵",AND(G60&gt;=10,G60&lt;20),"中度拥堵",AND(G60&gt;=0,G60&lt;10),"严重拥堵"),F60=80,_xlfn.IFS(G60&gt;=50,"畅通",AND(G60&gt;=35,G60&lt;50),"轻度拥堵",AND(G60&gt;=20,G60&lt;35),"中度拥堵",AND(G60&gt;=0,G60&lt;20),"严重拥堵"),F60=90,_xlfn.IFS(G60&gt;=55,"畅通",AND(G60&gt;=35,G60&lt;55),"轻度拥堵",AND(G60&gt;=20,G60&lt;35),"中度拥堵",AND(G60&gt;=0,G60&lt;20),"严重拥堵"),F60=100,_xlfn.IFS(G60&gt;=60,"畅通",AND(G60&gt;=40,G60&lt;60),"轻度拥堵",AND(G60&gt;=20,G60&lt;40),"中度拥堵",AND(G60&gt;=0,G60&lt;20),"严重拥堵"),F60=110,_xlfn.IFS(G60&gt;=65,"畅通",AND(G60&gt;=45,G60&lt;65),"轻度拥堵",AND(G60&gt;=25,G60&lt;45),"中度拥堵",AND(G60&gt;=0,G60&lt;25),"严重拥堵"),F60=120,_xlfn.IFS(G60&gt;=70,"畅通",AND(G60&gt;=50,G60&lt;70),"轻度拥堵",AND(G60&gt;=30,G60&lt;50),"中度拥堵",AND(G60&gt;=0,G60&lt;30),"严重拥堵")))</f>
        <v>轻度拥堵</v>
      </c>
    </row>
    <row r="61" spans="1:8" x14ac:dyDescent="0.2">
      <c r="A61">
        <v>60</v>
      </c>
      <c r="B61" t="str" cm="1">
        <f t="array" aca="1" ref="B61" ca="1">INDIRECT("s"&amp;RANDBETWEEN(22,23))</f>
        <v>主干路</v>
      </c>
      <c r="C61">
        <f t="shared" ca="1" si="10"/>
        <v>175</v>
      </c>
      <c r="D61">
        <f t="shared" ca="1" si="11"/>
        <v>1.8</v>
      </c>
      <c r="E61">
        <f t="shared" ca="1" si="12"/>
        <v>15</v>
      </c>
      <c r="F61" cm="1">
        <f t="array" aca="1" ref="F61" ca="1">INDIRECT("q"&amp;RANDBETWEEN(20,38))</f>
        <v>50</v>
      </c>
      <c r="G61">
        <f t="shared" ca="1" si="13"/>
        <v>21</v>
      </c>
      <c r="H61" t="str" cm="1">
        <f t="array" aca="1" ref="H61" ca="1">IF(OR(B61="主干路",B61="次干路"),_xlfn.IFS(F61=40,_xlfn.IFS(G61&gt;=25,"畅通",AND(G61&gt;=20,G61&lt;25),"轻度拥堵",AND(G61&gt;=15,G61&lt;20),"中度拥堵",AND(G61&gt;=0,G61&lt;15),"严重拥堵"),F61&lt;40,_xlfn.IFS(G61&gt;=25,"畅通",AND(G61&gt;=20,G61&lt;25),"轻度拥堵",AND(G61&gt;=10,G61&lt;20),"中度拥堵",AND(G61&gt;=0,G61&lt;10),"严重拥堵"),F61=50,_xlfn.IFS(G61&gt;=30,"畅通",AND(G61&gt;=25,G61&lt;30),"轻度拥堵",AND(G61&gt;=15,G61&lt;25),"中度拥堵",AND(G61&gt;=0,G61&lt;15),"严重拥堵"),F61=60,_xlfn.IFS(G61&gt;=35,"畅通",AND(G61&gt;=30,G61&lt;35),"轻度拥堵",AND(G61&gt;=20,G61&lt;30),"中度拥堵",AND(G61&gt;=0,G61&lt;20),"严重拥堵"),F61=70,_xlfn.IFS(G61&gt;=40,"畅通",AND(G61&gt;=30,G61&lt;40),"轻度拥堵",AND(G61&gt;=20,G61&lt;30),"中度拥堵",AND(G61&gt;=0,G61&lt;20),"严重拥堵"),F61=80,_xlfn.IFS(G61&gt;=45,"畅通",AND(G61&gt;=30,G61&lt;45),"轻度拥堵",AND(G61&gt;=20,G61&lt;30),"中度拥堵",AND(G61&gt;=0,G61&lt;20),"严重拥堵")),_xlfn.IFS(F61&lt;60,_xlfn.IFS(G61&gt;=40,"畅通",AND(G61&gt;=30,G61&lt;40),"轻度拥堵",AND(G61&gt;=20,G61&lt;30),"中度拥堵",AND(G61&gt;=0,G61&lt;20),"严重拥堵"),F61=60,_xlfn.IFS(G61&gt;=40,"畅通",AND(G61&gt;=30,G61&lt;40),"轻度拥堵",AND(G61&gt;=20,G61&lt;30),"中度拥堵",AND(G61&gt;=0,G61&lt;20),"严重拥堵"),F61=70,_xlfn.IFS(G61&gt;=45,"畅通",AND(G61&gt;=20,G61&lt;25),"轻度拥堵",AND(G61&gt;=10,G61&lt;20),"中度拥堵",AND(G61&gt;=0,G61&lt;10),"严重拥堵"),F61=80,_xlfn.IFS(G61&gt;=50,"畅通",AND(G61&gt;=35,G61&lt;50),"轻度拥堵",AND(G61&gt;=20,G61&lt;35),"中度拥堵",AND(G61&gt;=0,G61&lt;20),"严重拥堵"),F61=90,_xlfn.IFS(G61&gt;=55,"畅通",AND(G61&gt;=35,G61&lt;55),"轻度拥堵",AND(G61&gt;=20,G61&lt;35),"中度拥堵",AND(G61&gt;=0,G61&lt;20),"严重拥堵"),F61=100,_xlfn.IFS(G61&gt;=60,"畅通",AND(G61&gt;=40,G61&lt;60),"轻度拥堵",AND(G61&gt;=20,G61&lt;40),"中度拥堵",AND(G61&gt;=0,G61&lt;20),"严重拥堵"),F61=110,_xlfn.IFS(G61&gt;=65,"畅通",AND(G61&gt;=45,G61&lt;65),"轻度拥堵",AND(G61&gt;=25,G61&lt;45),"中度拥堵",AND(G61&gt;=0,G61&lt;25),"严重拥堵"),F61=120,_xlfn.IFS(G61&gt;=70,"畅通",AND(G61&gt;=50,G61&lt;70),"轻度拥堵",AND(G61&gt;=30,G61&lt;50),"中度拥堵",AND(G61&gt;=0,G61&lt;30),"严重拥堵")))</f>
        <v>中度拥堵</v>
      </c>
    </row>
    <row r="62" spans="1:8" x14ac:dyDescent="0.2">
      <c r="A62">
        <v>61</v>
      </c>
      <c r="B62" t="str" cm="1">
        <f t="array" aca="1" ref="B62" ca="1">INDIRECT("s"&amp;RANDBETWEEN(22,23))</f>
        <v>主干路</v>
      </c>
      <c r="C62">
        <f t="shared" ca="1" si="10"/>
        <v>118</v>
      </c>
      <c r="D62">
        <f t="shared" ca="1" si="11"/>
        <v>1.9</v>
      </c>
      <c r="E62">
        <f t="shared" ca="1" si="12"/>
        <v>10.68</v>
      </c>
      <c r="F62" cm="1">
        <f t="array" aca="1" ref="F62" ca="1">INDIRECT("q"&amp;RANDBETWEEN(20,38))</f>
        <v>60</v>
      </c>
      <c r="G62">
        <f t="shared" ca="1" si="13"/>
        <v>21</v>
      </c>
      <c r="H62" t="str" cm="1">
        <f t="array" aca="1" ref="H62" ca="1">IF(OR(B62="主干路",B62="次干路"),_xlfn.IFS(F62=40,_xlfn.IFS(G62&gt;=25,"畅通",AND(G62&gt;=20,G62&lt;25),"轻度拥堵",AND(G62&gt;=15,G62&lt;20),"中度拥堵",AND(G62&gt;=0,G62&lt;15),"严重拥堵"),F62&lt;40,_xlfn.IFS(G62&gt;=25,"畅通",AND(G62&gt;=20,G62&lt;25),"轻度拥堵",AND(G62&gt;=10,G62&lt;20),"中度拥堵",AND(G62&gt;=0,G62&lt;10),"严重拥堵"),F62=50,_xlfn.IFS(G62&gt;=30,"畅通",AND(G62&gt;=25,G62&lt;30),"轻度拥堵",AND(G62&gt;=15,G62&lt;25),"中度拥堵",AND(G62&gt;=0,G62&lt;15),"严重拥堵"),F62=60,_xlfn.IFS(G62&gt;=35,"畅通",AND(G62&gt;=30,G62&lt;35),"轻度拥堵",AND(G62&gt;=20,G62&lt;30),"中度拥堵",AND(G62&gt;=0,G62&lt;20),"严重拥堵"),F62=70,_xlfn.IFS(G62&gt;=40,"畅通",AND(G62&gt;=30,G62&lt;40),"轻度拥堵",AND(G62&gt;=20,G62&lt;30),"中度拥堵",AND(G62&gt;=0,G62&lt;20),"严重拥堵"),F62=80,_xlfn.IFS(G62&gt;=45,"畅通",AND(G62&gt;=30,G62&lt;45),"轻度拥堵",AND(G62&gt;=20,G62&lt;30),"中度拥堵",AND(G62&gt;=0,G62&lt;20),"严重拥堵")),_xlfn.IFS(F62&lt;60,_xlfn.IFS(G62&gt;=40,"畅通",AND(G62&gt;=30,G62&lt;40),"轻度拥堵",AND(G62&gt;=20,G62&lt;30),"中度拥堵",AND(G62&gt;=0,G62&lt;20),"严重拥堵"),F62=60,_xlfn.IFS(G62&gt;=40,"畅通",AND(G62&gt;=30,G62&lt;40),"轻度拥堵",AND(G62&gt;=20,G62&lt;30),"中度拥堵",AND(G62&gt;=0,G62&lt;20),"严重拥堵"),F62=70,_xlfn.IFS(G62&gt;=45,"畅通",AND(G62&gt;=20,G62&lt;25),"轻度拥堵",AND(G62&gt;=10,G62&lt;20),"中度拥堵",AND(G62&gt;=0,G62&lt;10),"严重拥堵"),F62=80,_xlfn.IFS(G62&gt;=50,"畅通",AND(G62&gt;=35,G62&lt;50),"轻度拥堵",AND(G62&gt;=20,G62&lt;35),"中度拥堵",AND(G62&gt;=0,G62&lt;20),"严重拥堵"),F62=90,_xlfn.IFS(G62&gt;=55,"畅通",AND(G62&gt;=35,G62&lt;55),"轻度拥堵",AND(G62&gt;=20,G62&lt;35),"中度拥堵",AND(G62&gt;=0,G62&lt;20),"严重拥堵"),F62=100,_xlfn.IFS(G62&gt;=60,"畅通",AND(G62&gt;=40,G62&lt;60),"轻度拥堵",AND(G62&gt;=20,G62&lt;40),"中度拥堵",AND(G62&gt;=0,G62&lt;20),"严重拥堵"),F62=110,_xlfn.IFS(G62&gt;=65,"畅通",AND(G62&gt;=45,G62&lt;65),"轻度拥堵",AND(G62&gt;=25,G62&lt;45),"中度拥堵",AND(G62&gt;=0,G62&lt;25),"严重拥堵"),F62=120,_xlfn.IFS(G62&gt;=70,"畅通",AND(G62&gt;=50,G62&lt;70),"轻度拥堵",AND(G62&gt;=30,G62&lt;50),"中度拥堵",AND(G62&gt;=0,G62&lt;30),"严重拥堵")))</f>
        <v>中度拥堵</v>
      </c>
    </row>
    <row r="63" spans="1:8" x14ac:dyDescent="0.2">
      <c r="A63">
        <v>62</v>
      </c>
      <c r="B63" t="str" cm="1">
        <f t="array" aca="1" ref="B63" ca="1">INDIRECT("s"&amp;RANDBETWEEN(22,23))</f>
        <v>次干路</v>
      </c>
      <c r="C63">
        <f t="shared" ca="1" si="10"/>
        <v>87</v>
      </c>
      <c r="D63">
        <f t="shared" ca="1" si="11"/>
        <v>1.5</v>
      </c>
      <c r="E63">
        <f t="shared" ca="1" si="12"/>
        <v>5.93</v>
      </c>
      <c r="F63" cm="1">
        <f t="array" aca="1" ref="F63" ca="1">INDIRECT("q"&amp;RANDBETWEEN(20,38))</f>
        <v>60</v>
      </c>
      <c r="G63">
        <f t="shared" ca="1" si="13"/>
        <v>22</v>
      </c>
      <c r="H63" t="str" cm="1">
        <f t="array" aca="1" ref="H63" ca="1">IF(OR(B63="主干路",B63="次干路"),_xlfn.IFS(F63=40,_xlfn.IFS(G63&gt;=25,"畅通",AND(G63&gt;=20,G63&lt;25),"轻度拥堵",AND(G63&gt;=15,G63&lt;20),"中度拥堵",AND(G63&gt;=0,G63&lt;15),"严重拥堵"),F63&lt;40,_xlfn.IFS(G63&gt;=25,"畅通",AND(G63&gt;=20,G63&lt;25),"轻度拥堵",AND(G63&gt;=10,G63&lt;20),"中度拥堵",AND(G63&gt;=0,G63&lt;10),"严重拥堵"),F63=50,_xlfn.IFS(G63&gt;=30,"畅通",AND(G63&gt;=25,G63&lt;30),"轻度拥堵",AND(G63&gt;=15,G63&lt;25),"中度拥堵",AND(G63&gt;=0,G63&lt;15),"严重拥堵"),F63=60,_xlfn.IFS(G63&gt;=35,"畅通",AND(G63&gt;=30,G63&lt;35),"轻度拥堵",AND(G63&gt;=20,G63&lt;30),"中度拥堵",AND(G63&gt;=0,G63&lt;20),"严重拥堵"),F63=70,_xlfn.IFS(G63&gt;=40,"畅通",AND(G63&gt;=30,G63&lt;40),"轻度拥堵",AND(G63&gt;=20,G63&lt;30),"中度拥堵",AND(G63&gt;=0,G63&lt;20),"严重拥堵"),F63=80,_xlfn.IFS(G63&gt;=45,"畅通",AND(G63&gt;=30,G63&lt;45),"轻度拥堵",AND(G63&gt;=20,G63&lt;30),"中度拥堵",AND(G63&gt;=0,G63&lt;20),"严重拥堵")),_xlfn.IFS(F63&lt;60,_xlfn.IFS(G63&gt;=40,"畅通",AND(G63&gt;=30,G63&lt;40),"轻度拥堵",AND(G63&gt;=20,G63&lt;30),"中度拥堵",AND(G63&gt;=0,G63&lt;20),"严重拥堵"),F63=60,_xlfn.IFS(G63&gt;=40,"畅通",AND(G63&gt;=30,G63&lt;40),"轻度拥堵",AND(G63&gt;=20,G63&lt;30),"中度拥堵",AND(G63&gt;=0,G63&lt;20),"严重拥堵"),F63=70,_xlfn.IFS(G63&gt;=45,"畅通",AND(G63&gt;=20,G63&lt;25),"轻度拥堵",AND(G63&gt;=10,G63&lt;20),"中度拥堵",AND(G63&gt;=0,G63&lt;10),"严重拥堵"),F63=80,_xlfn.IFS(G63&gt;=50,"畅通",AND(G63&gt;=35,G63&lt;50),"轻度拥堵",AND(G63&gt;=20,G63&lt;35),"中度拥堵",AND(G63&gt;=0,G63&lt;20),"严重拥堵"),F63=90,_xlfn.IFS(G63&gt;=55,"畅通",AND(G63&gt;=35,G63&lt;55),"轻度拥堵",AND(G63&gt;=20,G63&lt;35),"中度拥堵",AND(G63&gt;=0,G63&lt;20),"严重拥堵"),F63=100,_xlfn.IFS(G63&gt;=60,"畅通",AND(G63&gt;=40,G63&lt;60),"轻度拥堵",AND(G63&gt;=20,G63&lt;40),"中度拥堵",AND(G63&gt;=0,G63&lt;20),"严重拥堵"),F63=110,_xlfn.IFS(G63&gt;=65,"畅通",AND(G63&gt;=45,G63&lt;65),"轻度拥堵",AND(G63&gt;=25,G63&lt;45),"中度拥堵",AND(G63&gt;=0,G63&lt;25),"严重拥堵"),F63=120,_xlfn.IFS(G63&gt;=70,"畅通",AND(G63&gt;=50,G63&lt;70),"轻度拥堵",AND(G63&gt;=30,G63&lt;50),"中度拥堵",AND(G63&gt;=0,G63&lt;30),"严重拥堵")))</f>
        <v>中度拥堵</v>
      </c>
    </row>
    <row r="64" spans="1:8" x14ac:dyDescent="0.2">
      <c r="A64">
        <v>63</v>
      </c>
      <c r="B64" t="str" cm="1">
        <f t="array" aca="1" ref="B64" ca="1">INDIRECT("s"&amp;RANDBETWEEN(22,23))</f>
        <v>主干路</v>
      </c>
      <c r="C64">
        <f t="shared" ca="1" si="10"/>
        <v>86</v>
      </c>
      <c r="D64">
        <f t="shared" ca="1" si="11"/>
        <v>0.8</v>
      </c>
      <c r="E64">
        <f t="shared" ca="1" si="12"/>
        <v>2.75</v>
      </c>
      <c r="F64" cm="1">
        <f t="array" aca="1" ref="F64" ca="1">INDIRECT("q"&amp;RANDBETWEEN(20,38))</f>
        <v>60</v>
      </c>
      <c r="G64">
        <f t="shared" ca="1" si="13"/>
        <v>25</v>
      </c>
      <c r="H64" t="str" cm="1">
        <f t="array" aca="1" ref="H64" ca="1">IF(OR(B64="主干路",B64="次干路"),_xlfn.IFS(F64=40,_xlfn.IFS(G64&gt;=25,"畅通",AND(G64&gt;=20,G64&lt;25),"轻度拥堵",AND(G64&gt;=15,G64&lt;20),"中度拥堵",AND(G64&gt;=0,G64&lt;15),"严重拥堵"),F64&lt;40,_xlfn.IFS(G64&gt;=25,"畅通",AND(G64&gt;=20,G64&lt;25),"轻度拥堵",AND(G64&gt;=10,G64&lt;20),"中度拥堵",AND(G64&gt;=0,G64&lt;10),"严重拥堵"),F64=50,_xlfn.IFS(G64&gt;=30,"畅通",AND(G64&gt;=25,G64&lt;30),"轻度拥堵",AND(G64&gt;=15,G64&lt;25),"中度拥堵",AND(G64&gt;=0,G64&lt;15),"严重拥堵"),F64=60,_xlfn.IFS(G64&gt;=35,"畅通",AND(G64&gt;=30,G64&lt;35),"轻度拥堵",AND(G64&gt;=20,G64&lt;30),"中度拥堵",AND(G64&gt;=0,G64&lt;20),"严重拥堵"),F64=70,_xlfn.IFS(G64&gt;=40,"畅通",AND(G64&gt;=30,G64&lt;40),"轻度拥堵",AND(G64&gt;=20,G64&lt;30),"中度拥堵",AND(G64&gt;=0,G64&lt;20),"严重拥堵"),F64=80,_xlfn.IFS(G64&gt;=45,"畅通",AND(G64&gt;=30,G64&lt;45),"轻度拥堵",AND(G64&gt;=20,G64&lt;30),"中度拥堵",AND(G64&gt;=0,G64&lt;20),"严重拥堵")),_xlfn.IFS(F64&lt;60,_xlfn.IFS(G64&gt;=40,"畅通",AND(G64&gt;=30,G64&lt;40),"轻度拥堵",AND(G64&gt;=20,G64&lt;30),"中度拥堵",AND(G64&gt;=0,G64&lt;20),"严重拥堵"),F64=60,_xlfn.IFS(G64&gt;=40,"畅通",AND(G64&gt;=30,G64&lt;40),"轻度拥堵",AND(G64&gt;=20,G64&lt;30),"中度拥堵",AND(G64&gt;=0,G64&lt;20),"严重拥堵"),F64=70,_xlfn.IFS(G64&gt;=45,"畅通",AND(G64&gt;=20,G64&lt;25),"轻度拥堵",AND(G64&gt;=10,G64&lt;20),"中度拥堵",AND(G64&gt;=0,G64&lt;10),"严重拥堵"),F64=80,_xlfn.IFS(G64&gt;=50,"畅通",AND(G64&gt;=35,G64&lt;50),"轻度拥堵",AND(G64&gt;=20,G64&lt;35),"中度拥堵",AND(G64&gt;=0,G64&lt;20),"严重拥堵"),F64=90,_xlfn.IFS(G64&gt;=55,"畅通",AND(G64&gt;=35,G64&lt;55),"轻度拥堵",AND(G64&gt;=20,G64&lt;35),"中度拥堵",AND(G64&gt;=0,G64&lt;20),"严重拥堵"),F64=100,_xlfn.IFS(G64&gt;=60,"畅通",AND(G64&gt;=40,G64&lt;60),"轻度拥堵",AND(G64&gt;=20,G64&lt;40),"中度拥堵",AND(G64&gt;=0,G64&lt;20),"严重拥堵"),F64=110,_xlfn.IFS(G64&gt;=65,"畅通",AND(G64&gt;=45,G64&lt;65),"轻度拥堵",AND(G64&gt;=25,G64&lt;45),"中度拥堵",AND(G64&gt;=0,G64&lt;25),"严重拥堵"),F64=120,_xlfn.IFS(G64&gt;=70,"畅通",AND(G64&gt;=50,G64&lt;70),"轻度拥堵",AND(G64&gt;=30,G64&lt;50),"中度拥堵",AND(G64&gt;=0,G64&lt;30),"严重拥堵")))</f>
        <v>中度拥堵</v>
      </c>
    </row>
    <row r="65" spans="1:8" x14ac:dyDescent="0.2">
      <c r="A65">
        <v>64</v>
      </c>
      <c r="B65" t="str" cm="1">
        <f t="array" aca="1" ref="B65" ca="1">INDIRECT("s"&amp;RANDBETWEEN(22,23))</f>
        <v>主干路</v>
      </c>
      <c r="C65">
        <f t="shared" ca="1" si="10"/>
        <v>120</v>
      </c>
      <c r="D65">
        <f t="shared" ca="1" si="11"/>
        <v>1.3</v>
      </c>
      <c r="E65">
        <f t="shared" ca="1" si="12"/>
        <v>5.57</v>
      </c>
      <c r="F65" cm="1">
        <f t="array" aca="1" ref="F65" ca="1">INDIRECT("q"&amp;RANDBETWEEN(20,38))</f>
        <v>60</v>
      </c>
      <c r="G65">
        <f t="shared" ca="1" si="13"/>
        <v>28</v>
      </c>
      <c r="H65" t="str" cm="1">
        <f t="array" aca="1" ref="H65" ca="1">IF(OR(B65="主干路",B65="次干路"),_xlfn.IFS(F65=40,_xlfn.IFS(G65&gt;=25,"畅通",AND(G65&gt;=20,G65&lt;25),"轻度拥堵",AND(G65&gt;=15,G65&lt;20),"中度拥堵",AND(G65&gt;=0,G65&lt;15),"严重拥堵"),F65&lt;40,_xlfn.IFS(G65&gt;=25,"畅通",AND(G65&gt;=20,G65&lt;25),"轻度拥堵",AND(G65&gt;=10,G65&lt;20),"中度拥堵",AND(G65&gt;=0,G65&lt;10),"严重拥堵"),F65=50,_xlfn.IFS(G65&gt;=30,"畅通",AND(G65&gt;=25,G65&lt;30),"轻度拥堵",AND(G65&gt;=15,G65&lt;25),"中度拥堵",AND(G65&gt;=0,G65&lt;15),"严重拥堵"),F65=60,_xlfn.IFS(G65&gt;=35,"畅通",AND(G65&gt;=30,G65&lt;35),"轻度拥堵",AND(G65&gt;=20,G65&lt;30),"中度拥堵",AND(G65&gt;=0,G65&lt;20),"严重拥堵"),F65=70,_xlfn.IFS(G65&gt;=40,"畅通",AND(G65&gt;=30,G65&lt;40),"轻度拥堵",AND(G65&gt;=20,G65&lt;30),"中度拥堵",AND(G65&gt;=0,G65&lt;20),"严重拥堵"),F65=80,_xlfn.IFS(G65&gt;=45,"畅通",AND(G65&gt;=30,G65&lt;45),"轻度拥堵",AND(G65&gt;=20,G65&lt;30),"中度拥堵",AND(G65&gt;=0,G65&lt;20),"严重拥堵")),_xlfn.IFS(F65&lt;60,_xlfn.IFS(G65&gt;=40,"畅通",AND(G65&gt;=30,G65&lt;40),"轻度拥堵",AND(G65&gt;=20,G65&lt;30),"中度拥堵",AND(G65&gt;=0,G65&lt;20),"严重拥堵"),F65=60,_xlfn.IFS(G65&gt;=40,"畅通",AND(G65&gt;=30,G65&lt;40),"轻度拥堵",AND(G65&gt;=20,G65&lt;30),"中度拥堵",AND(G65&gt;=0,G65&lt;20),"严重拥堵"),F65=70,_xlfn.IFS(G65&gt;=45,"畅通",AND(G65&gt;=20,G65&lt;25),"轻度拥堵",AND(G65&gt;=10,G65&lt;20),"中度拥堵",AND(G65&gt;=0,G65&lt;10),"严重拥堵"),F65=80,_xlfn.IFS(G65&gt;=50,"畅通",AND(G65&gt;=35,G65&lt;50),"轻度拥堵",AND(G65&gt;=20,G65&lt;35),"中度拥堵",AND(G65&gt;=0,G65&lt;20),"严重拥堵"),F65=90,_xlfn.IFS(G65&gt;=55,"畅通",AND(G65&gt;=35,G65&lt;55),"轻度拥堵",AND(G65&gt;=20,G65&lt;35),"中度拥堵",AND(G65&gt;=0,G65&lt;20),"严重拥堵"),F65=100,_xlfn.IFS(G65&gt;=60,"畅通",AND(G65&gt;=40,G65&lt;60),"轻度拥堵",AND(G65&gt;=20,G65&lt;40),"中度拥堵",AND(G65&gt;=0,G65&lt;20),"严重拥堵"),F65=110,_xlfn.IFS(G65&gt;=65,"畅通",AND(G65&gt;=45,G65&lt;65),"轻度拥堵",AND(G65&gt;=25,G65&lt;45),"中度拥堵",AND(G65&gt;=0,G65&lt;25),"严重拥堵"),F65=120,_xlfn.IFS(G65&gt;=70,"畅通",AND(G65&gt;=50,G65&lt;70),"轻度拥堵",AND(G65&gt;=30,G65&lt;50),"中度拥堵",AND(G65&gt;=0,G65&lt;30),"严重拥堵")))</f>
        <v>中度拥堵</v>
      </c>
    </row>
    <row r="66" spans="1:8" x14ac:dyDescent="0.2">
      <c r="A66">
        <v>65</v>
      </c>
      <c r="B66" t="str" cm="1">
        <f t="array" aca="1" ref="B66" ca="1">INDIRECT("s"&amp;RANDBETWEEN(22,23))</f>
        <v>次干路</v>
      </c>
      <c r="C66">
        <f t="shared" ca="1" si="10"/>
        <v>104</v>
      </c>
      <c r="D66">
        <f t="shared" ca="1" si="11"/>
        <v>1</v>
      </c>
      <c r="E66">
        <f t="shared" ca="1" si="12"/>
        <v>4.5199999999999996</v>
      </c>
      <c r="F66" cm="1">
        <f t="array" aca="1" ref="F66" ca="1">INDIRECT("q"&amp;RANDBETWEEN(20,38))</f>
        <v>60</v>
      </c>
      <c r="G66">
        <f t="shared" ca="1" si="13"/>
        <v>23</v>
      </c>
      <c r="H66" t="str" cm="1">
        <f t="array" aca="1" ref="H66" ca="1">IF(OR(B66="主干路",B66="次干路"),_xlfn.IFS(F66=40,_xlfn.IFS(G66&gt;=25,"畅通",AND(G66&gt;=20,G66&lt;25),"轻度拥堵",AND(G66&gt;=15,G66&lt;20),"中度拥堵",AND(G66&gt;=0,G66&lt;15),"严重拥堵"),F66&lt;40,_xlfn.IFS(G66&gt;=25,"畅通",AND(G66&gt;=20,G66&lt;25),"轻度拥堵",AND(G66&gt;=10,G66&lt;20),"中度拥堵",AND(G66&gt;=0,G66&lt;10),"严重拥堵"),F66=50,_xlfn.IFS(G66&gt;=30,"畅通",AND(G66&gt;=25,G66&lt;30),"轻度拥堵",AND(G66&gt;=15,G66&lt;25),"中度拥堵",AND(G66&gt;=0,G66&lt;15),"严重拥堵"),F66=60,_xlfn.IFS(G66&gt;=35,"畅通",AND(G66&gt;=30,G66&lt;35),"轻度拥堵",AND(G66&gt;=20,G66&lt;30),"中度拥堵",AND(G66&gt;=0,G66&lt;20),"严重拥堵"),F66=70,_xlfn.IFS(G66&gt;=40,"畅通",AND(G66&gt;=30,G66&lt;40),"轻度拥堵",AND(G66&gt;=20,G66&lt;30),"中度拥堵",AND(G66&gt;=0,G66&lt;20),"严重拥堵"),F66=80,_xlfn.IFS(G66&gt;=45,"畅通",AND(G66&gt;=30,G66&lt;45),"轻度拥堵",AND(G66&gt;=20,G66&lt;30),"中度拥堵",AND(G66&gt;=0,G66&lt;20),"严重拥堵")),_xlfn.IFS(F66&lt;60,_xlfn.IFS(G66&gt;=40,"畅通",AND(G66&gt;=30,G66&lt;40),"轻度拥堵",AND(G66&gt;=20,G66&lt;30),"中度拥堵",AND(G66&gt;=0,G66&lt;20),"严重拥堵"),F66=60,_xlfn.IFS(G66&gt;=40,"畅通",AND(G66&gt;=30,G66&lt;40),"轻度拥堵",AND(G66&gt;=20,G66&lt;30),"中度拥堵",AND(G66&gt;=0,G66&lt;20),"严重拥堵"),F66=70,_xlfn.IFS(G66&gt;=45,"畅通",AND(G66&gt;=20,G66&lt;25),"轻度拥堵",AND(G66&gt;=10,G66&lt;20),"中度拥堵",AND(G66&gt;=0,G66&lt;10),"严重拥堵"),F66=80,_xlfn.IFS(G66&gt;=50,"畅通",AND(G66&gt;=35,G66&lt;50),"轻度拥堵",AND(G66&gt;=20,G66&lt;35),"中度拥堵",AND(G66&gt;=0,G66&lt;20),"严重拥堵"),F66=90,_xlfn.IFS(G66&gt;=55,"畅通",AND(G66&gt;=35,G66&lt;55),"轻度拥堵",AND(G66&gt;=20,G66&lt;35),"中度拥堵",AND(G66&gt;=0,G66&lt;20),"严重拥堵"),F66=100,_xlfn.IFS(G66&gt;=60,"畅通",AND(G66&gt;=40,G66&lt;60),"轻度拥堵",AND(G66&gt;=20,G66&lt;40),"中度拥堵",AND(G66&gt;=0,G66&lt;20),"严重拥堵"),F66=110,_xlfn.IFS(G66&gt;=65,"畅通",AND(G66&gt;=45,G66&lt;65),"轻度拥堵",AND(G66&gt;=25,G66&lt;45),"中度拥堵",AND(G66&gt;=0,G66&lt;25),"严重拥堵"),F66=120,_xlfn.IFS(G66&gt;=70,"畅通",AND(G66&gt;=50,G66&lt;70),"轻度拥堵",AND(G66&gt;=30,G66&lt;50),"中度拥堵",AND(G66&gt;=0,G66&lt;30),"严重拥堵")))</f>
        <v>中度拥堵</v>
      </c>
    </row>
    <row r="67" spans="1:8" x14ac:dyDescent="0.2">
      <c r="A67">
        <v>66</v>
      </c>
      <c r="B67" t="str" cm="1">
        <f t="array" aca="1" ref="B67" ca="1">INDIRECT("s"&amp;RANDBETWEEN(22,23))</f>
        <v>主干路</v>
      </c>
      <c r="C67">
        <f t="shared" ca="1" si="10"/>
        <v>141</v>
      </c>
      <c r="D67">
        <f t="shared" ca="1" si="11"/>
        <v>1.3</v>
      </c>
      <c r="E67">
        <f t="shared" ca="1" si="12"/>
        <v>14.1</v>
      </c>
      <c r="F67" cm="1">
        <f t="array" aca="1" ref="F67" ca="1">INDIRECT("q"&amp;RANDBETWEEN(20,38))</f>
        <v>60</v>
      </c>
      <c r="G67">
        <f t="shared" ca="1" si="13"/>
        <v>13</v>
      </c>
      <c r="H67" t="str" cm="1">
        <f t="array" aca="1" ref="H67" ca="1">IF(OR(B67="主干路",B67="次干路"),_xlfn.IFS(F67=40,_xlfn.IFS(G67&gt;=25,"畅通",AND(G67&gt;=20,G67&lt;25),"轻度拥堵",AND(G67&gt;=15,G67&lt;20),"中度拥堵",AND(G67&gt;=0,G67&lt;15),"严重拥堵"),F67&lt;40,_xlfn.IFS(G67&gt;=25,"畅通",AND(G67&gt;=20,G67&lt;25),"轻度拥堵",AND(G67&gt;=10,G67&lt;20),"中度拥堵",AND(G67&gt;=0,G67&lt;10),"严重拥堵"),F67=50,_xlfn.IFS(G67&gt;=30,"畅通",AND(G67&gt;=25,G67&lt;30),"轻度拥堵",AND(G67&gt;=15,G67&lt;25),"中度拥堵",AND(G67&gt;=0,G67&lt;15),"严重拥堵"),F67=60,_xlfn.IFS(G67&gt;=35,"畅通",AND(G67&gt;=30,G67&lt;35),"轻度拥堵",AND(G67&gt;=20,G67&lt;30),"中度拥堵",AND(G67&gt;=0,G67&lt;20),"严重拥堵"),F67=70,_xlfn.IFS(G67&gt;=40,"畅通",AND(G67&gt;=30,G67&lt;40),"轻度拥堵",AND(G67&gt;=20,G67&lt;30),"中度拥堵",AND(G67&gt;=0,G67&lt;20),"严重拥堵"),F67=80,_xlfn.IFS(G67&gt;=45,"畅通",AND(G67&gt;=30,G67&lt;45),"轻度拥堵",AND(G67&gt;=20,G67&lt;30),"中度拥堵",AND(G67&gt;=0,G67&lt;20),"严重拥堵")),_xlfn.IFS(F67&lt;60,_xlfn.IFS(G67&gt;=40,"畅通",AND(G67&gt;=30,G67&lt;40),"轻度拥堵",AND(G67&gt;=20,G67&lt;30),"中度拥堵",AND(G67&gt;=0,G67&lt;20),"严重拥堵"),F67=60,_xlfn.IFS(G67&gt;=40,"畅通",AND(G67&gt;=30,G67&lt;40),"轻度拥堵",AND(G67&gt;=20,G67&lt;30),"中度拥堵",AND(G67&gt;=0,G67&lt;20),"严重拥堵"),F67=70,_xlfn.IFS(G67&gt;=45,"畅通",AND(G67&gt;=20,G67&lt;25),"轻度拥堵",AND(G67&gt;=10,G67&lt;20),"中度拥堵",AND(G67&gt;=0,G67&lt;10),"严重拥堵"),F67=80,_xlfn.IFS(G67&gt;=50,"畅通",AND(G67&gt;=35,G67&lt;50),"轻度拥堵",AND(G67&gt;=20,G67&lt;35),"中度拥堵",AND(G67&gt;=0,G67&lt;20),"严重拥堵"),F67=90,_xlfn.IFS(G67&gt;=55,"畅通",AND(G67&gt;=35,G67&lt;55),"轻度拥堵",AND(G67&gt;=20,G67&lt;35),"中度拥堵",AND(G67&gt;=0,G67&lt;20),"严重拥堵"),F67=100,_xlfn.IFS(G67&gt;=60,"畅通",AND(G67&gt;=40,G67&lt;60),"轻度拥堵",AND(G67&gt;=20,G67&lt;40),"中度拥堵",AND(G67&gt;=0,G67&lt;20),"严重拥堵"),F67=110,_xlfn.IFS(G67&gt;=65,"畅通",AND(G67&gt;=45,G67&lt;65),"轻度拥堵",AND(G67&gt;=25,G67&lt;45),"中度拥堵",AND(G67&gt;=0,G67&lt;25),"严重拥堵"),F67=120,_xlfn.IFS(G67&gt;=70,"畅通",AND(G67&gt;=50,G67&lt;70),"轻度拥堵",AND(G67&gt;=30,G67&lt;50),"中度拥堵",AND(G67&gt;=0,G67&lt;30),"严重拥堵")))</f>
        <v>严重拥堵</v>
      </c>
    </row>
    <row r="68" spans="1:8" x14ac:dyDescent="0.2">
      <c r="A68">
        <v>67</v>
      </c>
      <c r="B68" t="str" cm="1">
        <f t="array" aca="1" ref="B68" ca="1">INDIRECT("s"&amp;RANDBETWEEN(22,23))</f>
        <v>主干路</v>
      </c>
      <c r="C68">
        <f t="shared" ca="1" si="10"/>
        <v>180</v>
      </c>
      <c r="D68">
        <f t="shared" ca="1" si="11"/>
        <v>0.9</v>
      </c>
      <c r="E68">
        <f t="shared" ca="1" si="12"/>
        <v>4.05</v>
      </c>
      <c r="F68" cm="1">
        <f t="array" aca="1" ref="F68" ca="1">INDIRECT("q"&amp;RANDBETWEEN(20,38))</f>
        <v>60</v>
      </c>
      <c r="G68">
        <f t="shared" ca="1" si="13"/>
        <v>40</v>
      </c>
      <c r="H68" t="str" cm="1">
        <f t="array" aca="1" ref="H68" ca="1">IF(OR(B68="主干路",B68="次干路"),_xlfn.IFS(F68=40,_xlfn.IFS(G68&gt;=25,"畅通",AND(G68&gt;=20,G68&lt;25),"轻度拥堵",AND(G68&gt;=15,G68&lt;20),"中度拥堵",AND(G68&gt;=0,G68&lt;15),"严重拥堵"),F68&lt;40,_xlfn.IFS(G68&gt;=25,"畅通",AND(G68&gt;=20,G68&lt;25),"轻度拥堵",AND(G68&gt;=10,G68&lt;20),"中度拥堵",AND(G68&gt;=0,G68&lt;10),"严重拥堵"),F68=50,_xlfn.IFS(G68&gt;=30,"畅通",AND(G68&gt;=25,G68&lt;30),"轻度拥堵",AND(G68&gt;=15,G68&lt;25),"中度拥堵",AND(G68&gt;=0,G68&lt;15),"严重拥堵"),F68=60,_xlfn.IFS(G68&gt;=35,"畅通",AND(G68&gt;=30,G68&lt;35),"轻度拥堵",AND(G68&gt;=20,G68&lt;30),"中度拥堵",AND(G68&gt;=0,G68&lt;20),"严重拥堵"),F68=70,_xlfn.IFS(G68&gt;=40,"畅通",AND(G68&gt;=30,G68&lt;40),"轻度拥堵",AND(G68&gt;=20,G68&lt;30),"中度拥堵",AND(G68&gt;=0,G68&lt;20),"严重拥堵"),F68=80,_xlfn.IFS(G68&gt;=45,"畅通",AND(G68&gt;=30,G68&lt;45),"轻度拥堵",AND(G68&gt;=20,G68&lt;30),"中度拥堵",AND(G68&gt;=0,G68&lt;20),"严重拥堵")),_xlfn.IFS(F68&lt;60,_xlfn.IFS(G68&gt;=40,"畅通",AND(G68&gt;=30,G68&lt;40),"轻度拥堵",AND(G68&gt;=20,G68&lt;30),"中度拥堵",AND(G68&gt;=0,G68&lt;20),"严重拥堵"),F68=60,_xlfn.IFS(G68&gt;=40,"畅通",AND(G68&gt;=30,G68&lt;40),"轻度拥堵",AND(G68&gt;=20,G68&lt;30),"中度拥堵",AND(G68&gt;=0,G68&lt;20),"严重拥堵"),F68=70,_xlfn.IFS(G68&gt;=45,"畅通",AND(G68&gt;=20,G68&lt;25),"轻度拥堵",AND(G68&gt;=10,G68&lt;20),"中度拥堵",AND(G68&gt;=0,G68&lt;10),"严重拥堵"),F68=80,_xlfn.IFS(G68&gt;=50,"畅通",AND(G68&gt;=35,G68&lt;50),"轻度拥堵",AND(G68&gt;=20,G68&lt;35),"中度拥堵",AND(G68&gt;=0,G68&lt;20),"严重拥堵"),F68=90,_xlfn.IFS(G68&gt;=55,"畅通",AND(G68&gt;=35,G68&lt;55),"轻度拥堵",AND(G68&gt;=20,G68&lt;35),"中度拥堵",AND(G68&gt;=0,G68&lt;20),"严重拥堵"),F68=100,_xlfn.IFS(G68&gt;=60,"畅通",AND(G68&gt;=40,G68&lt;60),"轻度拥堵",AND(G68&gt;=20,G68&lt;40),"中度拥堵",AND(G68&gt;=0,G68&lt;20),"严重拥堵"),F68=110,_xlfn.IFS(G68&gt;=65,"畅通",AND(G68&gt;=45,G68&lt;65),"轻度拥堵",AND(G68&gt;=25,G68&lt;45),"中度拥堵",AND(G68&gt;=0,G68&lt;25),"严重拥堵"),F68=120,_xlfn.IFS(G68&gt;=70,"畅通",AND(G68&gt;=50,G68&lt;70),"轻度拥堵",AND(G68&gt;=30,G68&lt;50),"中度拥堵",AND(G68&gt;=0,G68&lt;30),"严重拥堵")))</f>
        <v>畅通</v>
      </c>
    </row>
    <row r="69" spans="1:8" x14ac:dyDescent="0.2">
      <c r="A69">
        <v>68</v>
      </c>
      <c r="B69" t="str" cm="1">
        <f t="array" aca="1" ref="B69" ca="1">INDIRECT("s"&amp;RANDBETWEEN(22,23))</f>
        <v>主干路</v>
      </c>
      <c r="C69">
        <f t="shared" ca="1" si="10"/>
        <v>106</v>
      </c>
      <c r="D69">
        <f t="shared" ca="1" si="11"/>
        <v>2.4</v>
      </c>
      <c r="E69">
        <f t="shared" ca="1" si="12"/>
        <v>7.07</v>
      </c>
      <c r="F69" cm="1">
        <f t="array" aca="1" ref="F69" ca="1">INDIRECT("q"&amp;RANDBETWEEN(20,38))</f>
        <v>60</v>
      </c>
      <c r="G69">
        <f t="shared" ca="1" si="13"/>
        <v>36</v>
      </c>
      <c r="H69" t="str" cm="1">
        <f t="array" aca="1" ref="H69" ca="1">IF(OR(B69="主干路",B69="次干路"),_xlfn.IFS(F69=40,_xlfn.IFS(G69&gt;=25,"畅通",AND(G69&gt;=20,G69&lt;25),"轻度拥堵",AND(G69&gt;=15,G69&lt;20),"中度拥堵",AND(G69&gt;=0,G69&lt;15),"严重拥堵"),F69&lt;40,_xlfn.IFS(G69&gt;=25,"畅通",AND(G69&gt;=20,G69&lt;25),"轻度拥堵",AND(G69&gt;=10,G69&lt;20),"中度拥堵",AND(G69&gt;=0,G69&lt;10),"严重拥堵"),F69=50,_xlfn.IFS(G69&gt;=30,"畅通",AND(G69&gt;=25,G69&lt;30),"轻度拥堵",AND(G69&gt;=15,G69&lt;25),"中度拥堵",AND(G69&gt;=0,G69&lt;15),"严重拥堵"),F69=60,_xlfn.IFS(G69&gt;=35,"畅通",AND(G69&gt;=30,G69&lt;35),"轻度拥堵",AND(G69&gt;=20,G69&lt;30),"中度拥堵",AND(G69&gt;=0,G69&lt;20),"严重拥堵"),F69=70,_xlfn.IFS(G69&gt;=40,"畅通",AND(G69&gt;=30,G69&lt;40),"轻度拥堵",AND(G69&gt;=20,G69&lt;30),"中度拥堵",AND(G69&gt;=0,G69&lt;20),"严重拥堵"),F69=80,_xlfn.IFS(G69&gt;=45,"畅通",AND(G69&gt;=30,G69&lt;45),"轻度拥堵",AND(G69&gt;=20,G69&lt;30),"中度拥堵",AND(G69&gt;=0,G69&lt;20),"严重拥堵")),_xlfn.IFS(F69&lt;60,_xlfn.IFS(G69&gt;=40,"畅通",AND(G69&gt;=30,G69&lt;40),"轻度拥堵",AND(G69&gt;=20,G69&lt;30),"中度拥堵",AND(G69&gt;=0,G69&lt;20),"严重拥堵"),F69=60,_xlfn.IFS(G69&gt;=40,"畅通",AND(G69&gt;=30,G69&lt;40),"轻度拥堵",AND(G69&gt;=20,G69&lt;30),"中度拥堵",AND(G69&gt;=0,G69&lt;20),"严重拥堵"),F69=70,_xlfn.IFS(G69&gt;=45,"畅通",AND(G69&gt;=20,G69&lt;25),"轻度拥堵",AND(G69&gt;=10,G69&lt;20),"中度拥堵",AND(G69&gt;=0,G69&lt;10),"严重拥堵"),F69=80,_xlfn.IFS(G69&gt;=50,"畅通",AND(G69&gt;=35,G69&lt;50),"轻度拥堵",AND(G69&gt;=20,G69&lt;35),"中度拥堵",AND(G69&gt;=0,G69&lt;20),"严重拥堵"),F69=90,_xlfn.IFS(G69&gt;=55,"畅通",AND(G69&gt;=35,G69&lt;55),"轻度拥堵",AND(G69&gt;=20,G69&lt;35),"中度拥堵",AND(G69&gt;=0,G69&lt;20),"严重拥堵"),F69=100,_xlfn.IFS(G69&gt;=60,"畅通",AND(G69&gt;=40,G69&lt;60),"轻度拥堵",AND(G69&gt;=20,G69&lt;40),"中度拥堵",AND(G69&gt;=0,G69&lt;20),"严重拥堵"),F69=110,_xlfn.IFS(G69&gt;=65,"畅通",AND(G69&gt;=45,G69&lt;65),"轻度拥堵",AND(G69&gt;=25,G69&lt;45),"中度拥堵",AND(G69&gt;=0,G69&lt;25),"严重拥堵"),F69=120,_xlfn.IFS(G69&gt;=70,"畅通",AND(G69&gt;=50,G69&lt;70),"轻度拥堵",AND(G69&gt;=30,G69&lt;50),"中度拥堵",AND(G69&gt;=0,G69&lt;30),"严重拥堵")))</f>
        <v>畅通</v>
      </c>
    </row>
    <row r="70" spans="1:8" x14ac:dyDescent="0.2">
      <c r="A70">
        <v>69</v>
      </c>
      <c r="B70" t="str" cm="1">
        <f t="array" aca="1" ref="B70" ca="1">INDIRECT("s"&amp;RANDBETWEEN(22,23))</f>
        <v>主干路</v>
      </c>
      <c r="C70">
        <f t="shared" ca="1" si="10"/>
        <v>130</v>
      </c>
      <c r="D70">
        <f t="shared" ca="1" si="11"/>
        <v>1.5</v>
      </c>
      <c r="E70">
        <f t="shared" ca="1" si="12"/>
        <v>3.42</v>
      </c>
      <c r="F70" cm="1">
        <f t="array" aca="1" ref="F70" ca="1">INDIRECT("q"&amp;RANDBETWEEN(20,38))</f>
        <v>60</v>
      </c>
      <c r="G70">
        <f t="shared" ca="1" si="13"/>
        <v>57</v>
      </c>
      <c r="H70" t="str" cm="1">
        <f t="array" aca="1" ref="H70" ca="1">IF(OR(B70="主干路",B70="次干路"),_xlfn.IFS(F70=40,_xlfn.IFS(G70&gt;=25,"畅通",AND(G70&gt;=20,G70&lt;25),"轻度拥堵",AND(G70&gt;=15,G70&lt;20),"中度拥堵",AND(G70&gt;=0,G70&lt;15),"严重拥堵"),F70&lt;40,_xlfn.IFS(G70&gt;=25,"畅通",AND(G70&gt;=20,G70&lt;25),"轻度拥堵",AND(G70&gt;=10,G70&lt;20),"中度拥堵",AND(G70&gt;=0,G70&lt;10),"严重拥堵"),F70=50,_xlfn.IFS(G70&gt;=30,"畅通",AND(G70&gt;=25,G70&lt;30),"轻度拥堵",AND(G70&gt;=15,G70&lt;25),"中度拥堵",AND(G70&gt;=0,G70&lt;15),"严重拥堵"),F70=60,_xlfn.IFS(G70&gt;=35,"畅通",AND(G70&gt;=30,G70&lt;35),"轻度拥堵",AND(G70&gt;=20,G70&lt;30),"中度拥堵",AND(G70&gt;=0,G70&lt;20),"严重拥堵"),F70=70,_xlfn.IFS(G70&gt;=40,"畅通",AND(G70&gt;=30,G70&lt;40),"轻度拥堵",AND(G70&gt;=20,G70&lt;30),"中度拥堵",AND(G70&gt;=0,G70&lt;20),"严重拥堵"),F70=80,_xlfn.IFS(G70&gt;=45,"畅通",AND(G70&gt;=30,G70&lt;45),"轻度拥堵",AND(G70&gt;=20,G70&lt;30),"中度拥堵",AND(G70&gt;=0,G70&lt;20),"严重拥堵")),_xlfn.IFS(F70&lt;60,_xlfn.IFS(G70&gt;=40,"畅通",AND(G70&gt;=30,G70&lt;40),"轻度拥堵",AND(G70&gt;=20,G70&lt;30),"中度拥堵",AND(G70&gt;=0,G70&lt;20),"严重拥堵"),F70=60,_xlfn.IFS(G70&gt;=40,"畅通",AND(G70&gt;=30,G70&lt;40),"轻度拥堵",AND(G70&gt;=20,G70&lt;30),"中度拥堵",AND(G70&gt;=0,G70&lt;20),"严重拥堵"),F70=70,_xlfn.IFS(G70&gt;=45,"畅通",AND(G70&gt;=20,G70&lt;25),"轻度拥堵",AND(G70&gt;=10,G70&lt;20),"中度拥堵",AND(G70&gt;=0,G70&lt;10),"严重拥堵"),F70=80,_xlfn.IFS(G70&gt;=50,"畅通",AND(G70&gt;=35,G70&lt;50),"轻度拥堵",AND(G70&gt;=20,G70&lt;35),"中度拥堵",AND(G70&gt;=0,G70&lt;20),"严重拥堵"),F70=90,_xlfn.IFS(G70&gt;=55,"畅通",AND(G70&gt;=35,G70&lt;55),"轻度拥堵",AND(G70&gt;=20,G70&lt;35),"中度拥堵",AND(G70&gt;=0,G70&lt;20),"严重拥堵"),F70=100,_xlfn.IFS(G70&gt;=60,"畅通",AND(G70&gt;=40,G70&lt;60),"轻度拥堵",AND(G70&gt;=20,G70&lt;40),"中度拥堵",AND(G70&gt;=0,G70&lt;20),"严重拥堵"),F70=110,_xlfn.IFS(G70&gt;=65,"畅通",AND(G70&gt;=45,G70&lt;65),"轻度拥堵",AND(G70&gt;=25,G70&lt;45),"中度拥堵",AND(G70&gt;=0,G70&lt;25),"严重拥堵"),F70=120,_xlfn.IFS(G70&gt;=70,"畅通",AND(G70&gt;=50,G70&lt;70),"轻度拥堵",AND(G70&gt;=30,G70&lt;50),"中度拥堵",AND(G70&gt;=0,G70&lt;30),"严重拥堵")))</f>
        <v>畅通</v>
      </c>
    </row>
    <row r="71" spans="1:8" x14ac:dyDescent="0.2">
      <c r="A71">
        <v>70</v>
      </c>
      <c r="B71" t="str" cm="1">
        <f t="array" aca="1" ref="B71" ca="1">INDIRECT("s"&amp;RANDBETWEEN(22,23))</f>
        <v>主干路</v>
      </c>
      <c r="C71">
        <f t="shared" ca="1" si="10"/>
        <v>143</v>
      </c>
      <c r="D71">
        <f t="shared" ca="1" si="11"/>
        <v>3</v>
      </c>
      <c r="E71">
        <f t="shared" ca="1" si="12"/>
        <v>8.58</v>
      </c>
      <c r="F71" cm="1">
        <f t="array" aca="1" ref="F71" ca="1">INDIRECT("q"&amp;RANDBETWEEN(20,38))</f>
        <v>60</v>
      </c>
      <c r="G71">
        <f t="shared" ca="1" si="13"/>
        <v>50</v>
      </c>
      <c r="H71" t="str" cm="1">
        <f t="array" aca="1" ref="H71" ca="1">IF(OR(B71="主干路",B71="次干路"),_xlfn.IFS(F71=40,_xlfn.IFS(G71&gt;=25,"畅通",AND(G71&gt;=20,G71&lt;25),"轻度拥堵",AND(G71&gt;=15,G71&lt;20),"中度拥堵",AND(G71&gt;=0,G71&lt;15),"严重拥堵"),F71&lt;40,_xlfn.IFS(G71&gt;=25,"畅通",AND(G71&gt;=20,G71&lt;25),"轻度拥堵",AND(G71&gt;=10,G71&lt;20),"中度拥堵",AND(G71&gt;=0,G71&lt;10),"严重拥堵"),F71=50,_xlfn.IFS(G71&gt;=30,"畅通",AND(G71&gt;=25,G71&lt;30),"轻度拥堵",AND(G71&gt;=15,G71&lt;25),"中度拥堵",AND(G71&gt;=0,G71&lt;15),"严重拥堵"),F71=60,_xlfn.IFS(G71&gt;=35,"畅通",AND(G71&gt;=30,G71&lt;35),"轻度拥堵",AND(G71&gt;=20,G71&lt;30),"中度拥堵",AND(G71&gt;=0,G71&lt;20),"严重拥堵"),F71=70,_xlfn.IFS(G71&gt;=40,"畅通",AND(G71&gt;=30,G71&lt;40),"轻度拥堵",AND(G71&gt;=20,G71&lt;30),"中度拥堵",AND(G71&gt;=0,G71&lt;20),"严重拥堵"),F71=80,_xlfn.IFS(G71&gt;=45,"畅通",AND(G71&gt;=30,G71&lt;45),"轻度拥堵",AND(G71&gt;=20,G71&lt;30),"中度拥堵",AND(G71&gt;=0,G71&lt;20),"严重拥堵")),_xlfn.IFS(F71&lt;60,_xlfn.IFS(G71&gt;=40,"畅通",AND(G71&gt;=30,G71&lt;40),"轻度拥堵",AND(G71&gt;=20,G71&lt;30),"中度拥堵",AND(G71&gt;=0,G71&lt;20),"严重拥堵"),F71=60,_xlfn.IFS(G71&gt;=40,"畅通",AND(G71&gt;=30,G71&lt;40),"轻度拥堵",AND(G71&gt;=20,G71&lt;30),"中度拥堵",AND(G71&gt;=0,G71&lt;20),"严重拥堵"),F71=70,_xlfn.IFS(G71&gt;=45,"畅通",AND(G71&gt;=20,G71&lt;25),"轻度拥堵",AND(G71&gt;=10,G71&lt;20),"中度拥堵",AND(G71&gt;=0,G71&lt;10),"严重拥堵"),F71=80,_xlfn.IFS(G71&gt;=50,"畅通",AND(G71&gt;=35,G71&lt;50),"轻度拥堵",AND(G71&gt;=20,G71&lt;35),"中度拥堵",AND(G71&gt;=0,G71&lt;20),"严重拥堵"),F71=90,_xlfn.IFS(G71&gt;=55,"畅通",AND(G71&gt;=35,G71&lt;55),"轻度拥堵",AND(G71&gt;=20,G71&lt;35),"中度拥堵",AND(G71&gt;=0,G71&lt;20),"严重拥堵"),F71=100,_xlfn.IFS(G71&gt;=60,"畅通",AND(G71&gt;=40,G71&lt;60),"轻度拥堵",AND(G71&gt;=20,G71&lt;40),"中度拥堵",AND(G71&gt;=0,G71&lt;20),"严重拥堵"),F71=110,_xlfn.IFS(G71&gt;=65,"畅通",AND(G71&gt;=45,G71&lt;65),"轻度拥堵",AND(G71&gt;=25,G71&lt;45),"中度拥堵",AND(G71&gt;=0,G71&lt;25),"严重拥堵"),F71=120,_xlfn.IFS(G71&gt;=70,"畅通",AND(G71&gt;=50,G71&lt;70),"轻度拥堵",AND(G71&gt;=30,G71&lt;50),"中度拥堵",AND(G71&gt;=0,G71&lt;30),"严重拥堵")))</f>
        <v>畅通</v>
      </c>
    </row>
    <row r="72" spans="1:8" x14ac:dyDescent="0.2">
      <c r="A72">
        <v>71</v>
      </c>
      <c r="B72" t="str" cm="1">
        <f t="array" aca="1" ref="B72" ca="1">INDIRECT("r"&amp;RANDBETWEEN(22,23))</f>
        <v>城市快速路</v>
      </c>
      <c r="C72">
        <f t="shared" ref="C72:C81" ca="1" si="14">RANDBETWEEN(145,482)</f>
        <v>388</v>
      </c>
      <c r="D72">
        <f t="shared" ref="D72:D81" ca="1" si="15">RANDBETWEEN(20,50)/10</f>
        <v>2.7</v>
      </c>
      <c r="E72">
        <f t="shared" ca="1" si="12"/>
        <v>13.26</v>
      </c>
      <c r="F72" cm="1">
        <f t="array" aca="1" ref="F72" ca="1">INDIRECT("p"&amp;RANDBETWEEN(20,39))</f>
        <v>80</v>
      </c>
      <c r="G72">
        <f t="shared" ca="1" si="13"/>
        <v>79</v>
      </c>
      <c r="H72" t="str" cm="1">
        <f t="array" aca="1" ref="H72" ca="1">IF(OR(B72="主干路",B72="次干路"),_xlfn.IFS(F72=40,_xlfn.IFS(G72&gt;=25,"畅通",AND(G72&gt;=20,G72&lt;25),"轻度拥堵",AND(G72&gt;=15,G72&lt;20),"中度拥堵",AND(G72&gt;=0,G72&lt;15),"严重拥堵"),F72&lt;40,_xlfn.IFS(G72&gt;=25,"畅通",AND(G72&gt;=20,G72&lt;25),"轻度拥堵",AND(G72&gt;=10,G72&lt;20),"中度拥堵",AND(G72&gt;=0,G72&lt;10),"严重拥堵"),F72=50,_xlfn.IFS(G72&gt;=30,"畅通",AND(G72&gt;=25,G72&lt;30),"轻度拥堵",AND(G72&gt;=15,G72&lt;25),"中度拥堵",AND(G72&gt;=0,G72&lt;15),"严重拥堵"),F72=60,_xlfn.IFS(G72&gt;=35,"畅通",AND(G72&gt;=30,G72&lt;35),"轻度拥堵",AND(G72&gt;=20,G72&lt;30),"中度拥堵",AND(G72&gt;=0,G72&lt;20),"严重拥堵"),F72=70,_xlfn.IFS(G72&gt;=40,"畅通",AND(G72&gt;=30,G72&lt;40),"轻度拥堵",AND(G72&gt;=20,G72&lt;30),"中度拥堵",AND(G72&gt;=0,G72&lt;20),"严重拥堵"),F72=80,_xlfn.IFS(G72&gt;=45,"畅通",AND(G72&gt;=30,G72&lt;45),"轻度拥堵",AND(G72&gt;=20,G72&lt;30),"中度拥堵",AND(G72&gt;=0,G72&lt;20),"严重拥堵")),_xlfn.IFS(F72&lt;60,_xlfn.IFS(G72&gt;=40,"畅通",AND(G72&gt;=30,G72&lt;40),"轻度拥堵",AND(G72&gt;=20,G72&lt;30),"中度拥堵",AND(G72&gt;=0,G72&lt;20),"严重拥堵"),F72=60,_xlfn.IFS(G72&gt;=40,"畅通",AND(G72&gt;=30,G72&lt;40),"轻度拥堵",AND(G72&gt;=20,G72&lt;30),"中度拥堵",AND(G72&gt;=0,G72&lt;20),"严重拥堵"),F72=70,_xlfn.IFS(G72&gt;=45,"畅通",AND(G72&gt;=30,G72&lt;45),"轻度拥堵",AND(G72&gt;=20,G72&lt;30),"中度拥堵",AND(G72&gt;=0,G72&lt;20),"严重拥堵"),F72=80,_xlfn.IFS(G72&gt;=50,"畅通",AND(G72&gt;=35,G72&lt;50),"轻度拥堵",AND(G72&gt;=20,G72&lt;35),"中度拥堵",AND(G72&gt;=0,G72&lt;20),"严重拥堵"),F72=90,_xlfn.IFS(G72&gt;=55,"畅通",AND(G72&gt;=35,G72&lt;55),"轻度拥堵",AND(G72&gt;=20,G72&lt;35),"中度拥堵",AND(G72&gt;=0,G72&lt;20),"严重拥堵"),F72=100,_xlfn.IFS(G72&gt;=60,"畅通",AND(G72&gt;=40,G72&lt;60),"轻度拥堵",AND(G72&gt;=20,G72&lt;40),"中度拥堵",AND(G72&gt;=0,G72&lt;20),"严重拥堵"),F72=110,_xlfn.IFS(G72&gt;=65,"畅通",AND(G72&gt;=45,G72&lt;65),"轻度拥堵",AND(G72&gt;=25,G72&lt;45),"中度拥堵",AND(G72&gt;=0,G72&lt;25),"严重拥堵"),F72=120,_xlfn.IFS(G72&gt;=70,"畅通",AND(G72&gt;=50,G72&lt;70),"轻度拥堵",AND(G72&gt;=30,G72&lt;50),"中度拥堵",AND(G72&gt;=0,G72&lt;30),"严重拥堵")))</f>
        <v>畅通</v>
      </c>
    </row>
    <row r="73" spans="1:8" x14ac:dyDescent="0.2">
      <c r="A73">
        <v>72</v>
      </c>
      <c r="B73" t="str" cm="1">
        <f t="array" aca="1" ref="B73" ca="1">INDIRECT("r"&amp;RANDBETWEEN(22,23))</f>
        <v>公路</v>
      </c>
      <c r="C73">
        <f t="shared" ca="1" si="14"/>
        <v>159</v>
      </c>
      <c r="D73">
        <f t="shared" ca="1" si="15"/>
        <v>4.5</v>
      </c>
      <c r="E73">
        <f t="shared" ref="E73:E104" ca="1" si="16">ROUND(C73*D73/G73,2)</f>
        <v>44.72</v>
      </c>
      <c r="F73" cm="1">
        <f t="array" aca="1" ref="F73" ca="1">INDIRECT("p"&amp;RANDBETWEEN(20,39))</f>
        <v>80</v>
      </c>
      <c r="G73">
        <f t="shared" ref="G73:G104" ca="1" si="17">RANDBETWEEN(1,F73)</f>
        <v>16</v>
      </c>
      <c r="H73" t="str" cm="1">
        <f t="array" aca="1" ref="H73" ca="1">IF(OR(B73="主干路",B73="次干路"),_xlfn.IFS(F73=40,_xlfn.IFS(G73&gt;=25,"畅通",AND(G73&gt;=20,G73&lt;25),"轻度拥堵",AND(G73&gt;=15,G73&lt;20),"中度拥堵",AND(G73&gt;=0,G73&lt;15),"严重拥堵"),F73&lt;40,_xlfn.IFS(G73&gt;=25,"畅通",AND(G73&gt;=20,G73&lt;25),"轻度拥堵",AND(G73&gt;=10,G73&lt;20),"中度拥堵",AND(G73&gt;=0,G73&lt;10),"严重拥堵"),F73=50,_xlfn.IFS(G73&gt;=30,"畅通",AND(G73&gt;=25,G73&lt;30),"轻度拥堵",AND(G73&gt;=15,G73&lt;25),"中度拥堵",AND(G73&gt;=0,G73&lt;15),"严重拥堵"),F73=60,_xlfn.IFS(G73&gt;=35,"畅通",AND(G73&gt;=30,G73&lt;35),"轻度拥堵",AND(G73&gt;=20,G73&lt;30),"中度拥堵",AND(G73&gt;=0,G73&lt;20),"严重拥堵"),F73=70,_xlfn.IFS(G73&gt;=40,"畅通",AND(G73&gt;=30,G73&lt;40),"轻度拥堵",AND(G73&gt;=20,G73&lt;30),"中度拥堵",AND(G73&gt;=0,G73&lt;20),"严重拥堵"),F73=80,_xlfn.IFS(G73&gt;=45,"畅通",AND(G73&gt;=30,G73&lt;45),"轻度拥堵",AND(G73&gt;=20,G73&lt;30),"中度拥堵",AND(G73&gt;=0,G73&lt;20),"严重拥堵")),_xlfn.IFS(F73&lt;60,_xlfn.IFS(G73&gt;=40,"畅通",AND(G73&gt;=30,G73&lt;40),"轻度拥堵",AND(G73&gt;=20,G73&lt;30),"中度拥堵",AND(G73&gt;=0,G73&lt;20),"严重拥堵"),F73=60,_xlfn.IFS(G73&gt;=40,"畅通",AND(G73&gt;=30,G73&lt;40),"轻度拥堵",AND(G73&gt;=20,G73&lt;30),"中度拥堵",AND(G73&gt;=0,G73&lt;20),"严重拥堵"),F73=70,_xlfn.IFS(G73&gt;=45,"畅通",AND(G73&gt;=30,G73&lt;45),"轻度拥堵",AND(G73&gt;=20,G73&lt;30),"中度拥堵",AND(G73&gt;=0,G73&lt;20),"严重拥堵"),F73=80,_xlfn.IFS(G73&gt;=50,"畅通",AND(G73&gt;=35,G73&lt;50),"轻度拥堵",AND(G73&gt;=20,G73&lt;35),"中度拥堵",AND(G73&gt;=0,G73&lt;20),"严重拥堵"),F73=90,_xlfn.IFS(G73&gt;=55,"畅通",AND(G73&gt;=35,G73&lt;55),"轻度拥堵",AND(G73&gt;=20,G73&lt;35),"中度拥堵",AND(G73&gt;=0,G73&lt;20),"严重拥堵"),F73=100,_xlfn.IFS(G73&gt;=60,"畅通",AND(G73&gt;=40,G73&lt;60),"轻度拥堵",AND(G73&gt;=20,G73&lt;40),"中度拥堵",AND(G73&gt;=0,G73&lt;20),"严重拥堵"),F73=110,_xlfn.IFS(G73&gt;=65,"畅通",AND(G73&gt;=45,G73&lt;65),"轻度拥堵",AND(G73&gt;=25,G73&lt;45),"中度拥堵",AND(G73&gt;=0,G73&lt;25),"严重拥堵"),F73=120,_xlfn.IFS(G73&gt;=70,"畅通",AND(G73&gt;=50,G73&lt;70),"轻度拥堵",AND(G73&gt;=30,G73&lt;50),"中度拥堵",AND(G73&gt;=0,G73&lt;30),"严重拥堵")))</f>
        <v>严重拥堵</v>
      </c>
    </row>
    <row r="74" spans="1:8" x14ac:dyDescent="0.2">
      <c r="A74">
        <v>73</v>
      </c>
      <c r="B74" t="str" cm="1">
        <f t="array" aca="1" ref="B74" ca="1">INDIRECT("r"&amp;RANDBETWEEN(22,23))</f>
        <v>公路</v>
      </c>
      <c r="C74">
        <f t="shared" ca="1" si="14"/>
        <v>424</v>
      </c>
      <c r="D74">
        <f t="shared" ca="1" si="15"/>
        <v>2.4</v>
      </c>
      <c r="E74">
        <f t="shared" ca="1" si="16"/>
        <v>53.56</v>
      </c>
      <c r="F74" cm="1">
        <f t="array" aca="1" ref="F74" ca="1">INDIRECT("p"&amp;RANDBETWEEN(20,39))</f>
        <v>80</v>
      </c>
      <c r="G74">
        <f t="shared" ca="1" si="17"/>
        <v>19</v>
      </c>
      <c r="H74" t="str" cm="1">
        <f t="array" aca="1" ref="H74" ca="1">IF(OR(B74="主干路",B74="次干路"),_xlfn.IFS(F74=40,_xlfn.IFS(G74&gt;=25,"畅通",AND(G74&gt;=20,G74&lt;25),"轻度拥堵",AND(G74&gt;=15,G74&lt;20),"中度拥堵",AND(G74&gt;=0,G74&lt;15),"严重拥堵"),F74&lt;40,_xlfn.IFS(G74&gt;=25,"畅通",AND(G74&gt;=20,G74&lt;25),"轻度拥堵",AND(G74&gt;=10,G74&lt;20),"中度拥堵",AND(G74&gt;=0,G74&lt;10),"严重拥堵"),F74=50,_xlfn.IFS(G74&gt;=30,"畅通",AND(G74&gt;=25,G74&lt;30),"轻度拥堵",AND(G74&gt;=15,G74&lt;25),"中度拥堵",AND(G74&gt;=0,G74&lt;15),"严重拥堵"),F74=60,_xlfn.IFS(G74&gt;=35,"畅通",AND(G74&gt;=30,G74&lt;35),"轻度拥堵",AND(G74&gt;=20,G74&lt;30),"中度拥堵",AND(G74&gt;=0,G74&lt;20),"严重拥堵"),F74=70,_xlfn.IFS(G74&gt;=40,"畅通",AND(G74&gt;=30,G74&lt;40),"轻度拥堵",AND(G74&gt;=20,G74&lt;30),"中度拥堵",AND(G74&gt;=0,G74&lt;20),"严重拥堵"),F74=80,_xlfn.IFS(G74&gt;=45,"畅通",AND(G74&gt;=30,G74&lt;45),"轻度拥堵",AND(G74&gt;=20,G74&lt;30),"中度拥堵",AND(G74&gt;=0,G74&lt;20),"严重拥堵")),_xlfn.IFS(F74&lt;60,_xlfn.IFS(G74&gt;=40,"畅通",AND(G74&gt;=30,G74&lt;40),"轻度拥堵",AND(G74&gt;=20,G74&lt;30),"中度拥堵",AND(G74&gt;=0,G74&lt;20),"严重拥堵"),F74=60,_xlfn.IFS(G74&gt;=40,"畅通",AND(G74&gt;=30,G74&lt;40),"轻度拥堵",AND(G74&gt;=20,G74&lt;30),"中度拥堵",AND(G74&gt;=0,G74&lt;20),"严重拥堵"),F74=70,_xlfn.IFS(G74&gt;=45,"畅通",AND(G74&gt;=30,G74&lt;45),"轻度拥堵",AND(G74&gt;=20,G74&lt;30),"中度拥堵",AND(G74&gt;=0,G74&lt;20),"严重拥堵"),F74=80,_xlfn.IFS(G74&gt;=50,"畅通",AND(G74&gt;=35,G74&lt;50),"轻度拥堵",AND(G74&gt;=20,G74&lt;35),"中度拥堵",AND(G74&gt;=0,G74&lt;20),"严重拥堵"),F74=90,_xlfn.IFS(G74&gt;=55,"畅通",AND(G74&gt;=35,G74&lt;55),"轻度拥堵",AND(G74&gt;=20,G74&lt;35),"中度拥堵",AND(G74&gt;=0,G74&lt;20),"严重拥堵"),F74=100,_xlfn.IFS(G74&gt;=60,"畅通",AND(G74&gt;=40,G74&lt;60),"轻度拥堵",AND(G74&gt;=20,G74&lt;40),"中度拥堵",AND(G74&gt;=0,G74&lt;20),"严重拥堵"),F74=110,_xlfn.IFS(G74&gt;=65,"畅通",AND(G74&gt;=45,G74&lt;65),"轻度拥堵",AND(G74&gt;=25,G74&lt;45),"中度拥堵",AND(G74&gt;=0,G74&lt;25),"严重拥堵"),F74=120,_xlfn.IFS(G74&gt;=70,"畅通",AND(G74&gt;=50,G74&lt;70),"轻度拥堵",AND(G74&gt;=30,G74&lt;50),"中度拥堵",AND(G74&gt;=0,G74&lt;30),"严重拥堵")))</f>
        <v>严重拥堵</v>
      </c>
    </row>
    <row r="75" spans="1:8" x14ac:dyDescent="0.2">
      <c r="A75">
        <v>74</v>
      </c>
      <c r="B75" t="str" cm="1">
        <f t="array" aca="1" ref="B75" ca="1">INDIRECT("r"&amp;RANDBETWEEN(22,23))</f>
        <v>城市快速路</v>
      </c>
      <c r="C75">
        <f t="shared" ca="1" si="14"/>
        <v>438</v>
      </c>
      <c r="D75">
        <f t="shared" ca="1" si="15"/>
        <v>4.9000000000000004</v>
      </c>
      <c r="E75">
        <f t="shared" ca="1" si="16"/>
        <v>26.83</v>
      </c>
      <c r="F75" cm="1">
        <f t="array" aca="1" ref="F75" ca="1">INDIRECT("p"&amp;RANDBETWEEN(20,39))</f>
        <v>80</v>
      </c>
      <c r="G75">
        <f t="shared" ca="1" si="17"/>
        <v>80</v>
      </c>
      <c r="H75" t="str" cm="1">
        <f t="array" aca="1" ref="H75" ca="1">IF(OR(B75="主干路",B75="次干路"),_xlfn.IFS(F75=40,_xlfn.IFS(G75&gt;=25,"畅通",AND(G75&gt;=20,G75&lt;25),"轻度拥堵",AND(G75&gt;=15,G75&lt;20),"中度拥堵",AND(G75&gt;=0,G75&lt;15),"严重拥堵"),F75&lt;40,_xlfn.IFS(G75&gt;=25,"畅通",AND(G75&gt;=20,G75&lt;25),"轻度拥堵",AND(G75&gt;=10,G75&lt;20),"中度拥堵",AND(G75&gt;=0,G75&lt;10),"严重拥堵"),F75=50,_xlfn.IFS(G75&gt;=30,"畅通",AND(G75&gt;=25,G75&lt;30),"轻度拥堵",AND(G75&gt;=15,G75&lt;25),"中度拥堵",AND(G75&gt;=0,G75&lt;15),"严重拥堵"),F75=60,_xlfn.IFS(G75&gt;=35,"畅通",AND(G75&gt;=30,G75&lt;35),"轻度拥堵",AND(G75&gt;=20,G75&lt;30),"中度拥堵",AND(G75&gt;=0,G75&lt;20),"严重拥堵"),F75=70,_xlfn.IFS(G75&gt;=40,"畅通",AND(G75&gt;=30,G75&lt;40),"轻度拥堵",AND(G75&gt;=20,G75&lt;30),"中度拥堵",AND(G75&gt;=0,G75&lt;20),"严重拥堵"),F75=80,_xlfn.IFS(G75&gt;=45,"畅通",AND(G75&gt;=30,G75&lt;45),"轻度拥堵",AND(G75&gt;=20,G75&lt;30),"中度拥堵",AND(G75&gt;=0,G75&lt;20),"严重拥堵")),_xlfn.IFS(F75&lt;60,_xlfn.IFS(G75&gt;=40,"畅通",AND(G75&gt;=30,G75&lt;40),"轻度拥堵",AND(G75&gt;=20,G75&lt;30),"中度拥堵",AND(G75&gt;=0,G75&lt;20),"严重拥堵"),F75=60,_xlfn.IFS(G75&gt;=40,"畅通",AND(G75&gt;=30,G75&lt;40),"轻度拥堵",AND(G75&gt;=20,G75&lt;30),"中度拥堵",AND(G75&gt;=0,G75&lt;20),"严重拥堵"),F75=70,_xlfn.IFS(G75&gt;=45,"畅通",AND(G75&gt;=30,G75&lt;45),"轻度拥堵",AND(G75&gt;=20,G75&lt;30),"中度拥堵",AND(G75&gt;=0,G75&lt;20),"严重拥堵"),F75=80,_xlfn.IFS(G75&gt;=50,"畅通",AND(G75&gt;=35,G75&lt;50),"轻度拥堵",AND(G75&gt;=20,G75&lt;35),"中度拥堵",AND(G75&gt;=0,G75&lt;20),"严重拥堵"),F75=90,_xlfn.IFS(G75&gt;=55,"畅通",AND(G75&gt;=35,G75&lt;55),"轻度拥堵",AND(G75&gt;=20,G75&lt;35),"中度拥堵",AND(G75&gt;=0,G75&lt;20),"严重拥堵"),F75=100,_xlfn.IFS(G75&gt;=60,"畅通",AND(G75&gt;=40,G75&lt;60),"轻度拥堵",AND(G75&gt;=20,G75&lt;40),"中度拥堵",AND(G75&gt;=0,G75&lt;20),"严重拥堵"),F75=110,_xlfn.IFS(G75&gt;=65,"畅通",AND(G75&gt;=45,G75&lt;65),"轻度拥堵",AND(G75&gt;=25,G75&lt;45),"中度拥堵",AND(G75&gt;=0,G75&lt;25),"严重拥堵"),F75=120,_xlfn.IFS(G75&gt;=70,"畅通",AND(G75&gt;=50,G75&lt;70),"轻度拥堵",AND(G75&gt;=30,G75&lt;50),"中度拥堵",AND(G75&gt;=0,G75&lt;30),"严重拥堵")))</f>
        <v>畅通</v>
      </c>
    </row>
    <row r="76" spans="1:8" x14ac:dyDescent="0.2">
      <c r="A76">
        <v>75</v>
      </c>
      <c r="B76" t="str" cm="1">
        <f t="array" aca="1" ref="B76" ca="1">INDIRECT("r"&amp;RANDBETWEEN(22,23))</f>
        <v>公路</v>
      </c>
      <c r="C76">
        <f t="shared" ca="1" si="14"/>
        <v>279</v>
      </c>
      <c r="D76">
        <f t="shared" ca="1" si="15"/>
        <v>3.3</v>
      </c>
      <c r="E76">
        <f t="shared" ca="1" si="16"/>
        <v>18.41</v>
      </c>
      <c r="F76" cm="1">
        <f t="array" aca="1" ref="F76" ca="1">INDIRECT("p"&amp;RANDBETWEEN(20,39))</f>
        <v>60</v>
      </c>
      <c r="G76">
        <f t="shared" ca="1" si="17"/>
        <v>50</v>
      </c>
      <c r="H76" t="str" cm="1">
        <f t="array" aca="1" ref="H76" ca="1">IF(OR(B76="主干路",B76="次干路"),_xlfn.IFS(F76=40,_xlfn.IFS(G76&gt;=25,"畅通",AND(G76&gt;=20,G76&lt;25),"轻度拥堵",AND(G76&gt;=15,G76&lt;20),"中度拥堵",AND(G76&gt;=0,G76&lt;15),"严重拥堵"),F76&lt;40,_xlfn.IFS(G76&gt;=25,"畅通",AND(G76&gt;=20,G76&lt;25),"轻度拥堵",AND(G76&gt;=10,G76&lt;20),"中度拥堵",AND(G76&gt;=0,G76&lt;10),"严重拥堵"),F76=50,_xlfn.IFS(G76&gt;=30,"畅通",AND(G76&gt;=25,G76&lt;30),"轻度拥堵",AND(G76&gt;=15,G76&lt;25),"中度拥堵",AND(G76&gt;=0,G76&lt;15),"严重拥堵"),F76=60,_xlfn.IFS(G76&gt;=35,"畅通",AND(G76&gt;=30,G76&lt;35),"轻度拥堵",AND(G76&gt;=20,G76&lt;30),"中度拥堵",AND(G76&gt;=0,G76&lt;20),"严重拥堵"),F76=70,_xlfn.IFS(G76&gt;=40,"畅通",AND(G76&gt;=30,G76&lt;40),"轻度拥堵",AND(G76&gt;=20,G76&lt;30),"中度拥堵",AND(G76&gt;=0,G76&lt;20),"严重拥堵"),F76=80,_xlfn.IFS(G76&gt;=45,"畅通",AND(G76&gt;=30,G76&lt;45),"轻度拥堵",AND(G76&gt;=20,G76&lt;30),"中度拥堵",AND(G76&gt;=0,G76&lt;20),"严重拥堵")),_xlfn.IFS(F76&lt;60,_xlfn.IFS(G76&gt;=40,"畅通",AND(G76&gt;=30,G76&lt;40),"轻度拥堵",AND(G76&gt;=20,G76&lt;30),"中度拥堵",AND(G76&gt;=0,G76&lt;20),"严重拥堵"),F76=60,_xlfn.IFS(G76&gt;=40,"畅通",AND(G76&gt;=30,G76&lt;40),"轻度拥堵",AND(G76&gt;=20,G76&lt;30),"中度拥堵",AND(G76&gt;=0,G76&lt;20),"严重拥堵"),F76=70,_xlfn.IFS(G76&gt;=45,"畅通",AND(G76&gt;=30,G76&lt;45),"轻度拥堵",AND(G76&gt;=20,G76&lt;30),"中度拥堵",AND(G76&gt;=0,G76&lt;20),"严重拥堵"),F76=80,_xlfn.IFS(G76&gt;=50,"畅通",AND(G76&gt;=35,G76&lt;50),"轻度拥堵",AND(G76&gt;=20,G76&lt;35),"中度拥堵",AND(G76&gt;=0,G76&lt;20),"严重拥堵"),F76=90,_xlfn.IFS(G76&gt;=55,"畅通",AND(G76&gt;=35,G76&lt;55),"轻度拥堵",AND(G76&gt;=20,G76&lt;35),"中度拥堵",AND(G76&gt;=0,G76&lt;20),"严重拥堵"),F76=100,_xlfn.IFS(G76&gt;=60,"畅通",AND(G76&gt;=40,G76&lt;60),"轻度拥堵",AND(G76&gt;=20,G76&lt;40),"中度拥堵",AND(G76&gt;=0,G76&lt;20),"严重拥堵"),F76=110,_xlfn.IFS(G76&gt;=65,"畅通",AND(G76&gt;=45,G76&lt;65),"轻度拥堵",AND(G76&gt;=25,G76&lt;45),"中度拥堵",AND(G76&gt;=0,G76&lt;25),"严重拥堵"),F76=120,_xlfn.IFS(G76&gt;=70,"畅通",AND(G76&gt;=50,G76&lt;70),"轻度拥堵",AND(G76&gt;=30,G76&lt;50),"中度拥堵",AND(G76&gt;=0,G76&lt;30),"严重拥堵")))</f>
        <v>畅通</v>
      </c>
    </row>
    <row r="77" spans="1:8" x14ac:dyDescent="0.2">
      <c r="A77">
        <v>76</v>
      </c>
      <c r="B77" t="str" cm="1">
        <f t="array" aca="1" ref="B77" ca="1">INDIRECT("r"&amp;RANDBETWEEN(22,23))</f>
        <v>城市快速路</v>
      </c>
      <c r="C77">
        <f t="shared" ca="1" si="14"/>
        <v>354</v>
      </c>
      <c r="D77">
        <f t="shared" ca="1" si="15"/>
        <v>4.3</v>
      </c>
      <c r="E77">
        <f t="shared" ca="1" si="16"/>
        <v>20.57</v>
      </c>
      <c r="F77" cm="1">
        <f t="array" aca="1" ref="F77" ca="1">INDIRECT("p"&amp;RANDBETWEEN(20,39))</f>
        <v>80</v>
      </c>
      <c r="G77">
        <f t="shared" ca="1" si="17"/>
        <v>74</v>
      </c>
      <c r="H77" t="str" cm="1">
        <f t="array" aca="1" ref="H77" ca="1">IF(OR(B77="主干路",B77="次干路"),_xlfn.IFS(F77=40,_xlfn.IFS(G77&gt;=25,"畅通",AND(G77&gt;=20,G77&lt;25),"轻度拥堵",AND(G77&gt;=15,G77&lt;20),"中度拥堵",AND(G77&gt;=0,G77&lt;15),"严重拥堵"),F77&lt;40,_xlfn.IFS(G77&gt;=25,"畅通",AND(G77&gt;=20,G77&lt;25),"轻度拥堵",AND(G77&gt;=10,G77&lt;20),"中度拥堵",AND(G77&gt;=0,G77&lt;10),"严重拥堵"),F77=50,_xlfn.IFS(G77&gt;=30,"畅通",AND(G77&gt;=25,G77&lt;30),"轻度拥堵",AND(G77&gt;=15,G77&lt;25),"中度拥堵",AND(G77&gt;=0,G77&lt;15),"严重拥堵"),F77=60,_xlfn.IFS(G77&gt;=35,"畅通",AND(G77&gt;=30,G77&lt;35),"轻度拥堵",AND(G77&gt;=20,G77&lt;30),"中度拥堵",AND(G77&gt;=0,G77&lt;20),"严重拥堵"),F77=70,_xlfn.IFS(G77&gt;=40,"畅通",AND(G77&gt;=30,G77&lt;40),"轻度拥堵",AND(G77&gt;=20,G77&lt;30),"中度拥堵",AND(G77&gt;=0,G77&lt;20),"严重拥堵"),F77=80,_xlfn.IFS(G77&gt;=45,"畅通",AND(G77&gt;=30,G77&lt;45),"轻度拥堵",AND(G77&gt;=20,G77&lt;30),"中度拥堵",AND(G77&gt;=0,G77&lt;20),"严重拥堵")),_xlfn.IFS(F77&lt;60,_xlfn.IFS(G77&gt;=40,"畅通",AND(G77&gt;=30,G77&lt;40),"轻度拥堵",AND(G77&gt;=20,G77&lt;30),"中度拥堵",AND(G77&gt;=0,G77&lt;20),"严重拥堵"),F77=60,_xlfn.IFS(G77&gt;=40,"畅通",AND(G77&gt;=30,G77&lt;40),"轻度拥堵",AND(G77&gt;=20,G77&lt;30),"中度拥堵",AND(G77&gt;=0,G77&lt;20),"严重拥堵"),F77=70,_xlfn.IFS(G77&gt;=45,"畅通",AND(G77&gt;=30,G77&lt;45),"轻度拥堵",AND(G77&gt;=20,G77&lt;30),"中度拥堵",AND(G77&gt;=0,G77&lt;20),"严重拥堵"),F77=80,_xlfn.IFS(G77&gt;=50,"畅通",AND(G77&gt;=35,G77&lt;50),"轻度拥堵",AND(G77&gt;=20,G77&lt;35),"中度拥堵",AND(G77&gt;=0,G77&lt;20),"严重拥堵"),F77=90,_xlfn.IFS(G77&gt;=55,"畅通",AND(G77&gt;=35,G77&lt;55),"轻度拥堵",AND(G77&gt;=20,G77&lt;35),"中度拥堵",AND(G77&gt;=0,G77&lt;20),"严重拥堵"),F77=100,_xlfn.IFS(G77&gt;=60,"畅通",AND(G77&gt;=40,G77&lt;60),"轻度拥堵",AND(G77&gt;=20,G77&lt;40),"中度拥堵",AND(G77&gt;=0,G77&lt;20),"严重拥堵"),F77=110,_xlfn.IFS(G77&gt;=65,"畅通",AND(G77&gt;=45,G77&lt;65),"轻度拥堵",AND(G77&gt;=25,G77&lt;45),"中度拥堵",AND(G77&gt;=0,G77&lt;25),"严重拥堵"),F77=120,_xlfn.IFS(G77&gt;=70,"畅通",AND(G77&gt;=50,G77&lt;70),"轻度拥堵",AND(G77&gt;=30,G77&lt;50),"中度拥堵",AND(G77&gt;=0,G77&lt;30),"严重拥堵")))</f>
        <v>畅通</v>
      </c>
    </row>
    <row r="78" spans="1:8" x14ac:dyDescent="0.2">
      <c r="A78">
        <v>77</v>
      </c>
      <c r="B78" t="str" cm="1">
        <f t="array" aca="1" ref="B78" ca="1">INDIRECT("r"&amp;RANDBETWEEN(22,23))</f>
        <v>城市快速路</v>
      </c>
      <c r="C78">
        <f t="shared" ca="1" si="14"/>
        <v>335</v>
      </c>
      <c r="D78">
        <f t="shared" ca="1" si="15"/>
        <v>4.9000000000000004</v>
      </c>
      <c r="E78">
        <f t="shared" ca="1" si="16"/>
        <v>136.79</v>
      </c>
      <c r="F78" cm="1">
        <f t="array" aca="1" ref="F78" ca="1">INDIRECT("p"&amp;RANDBETWEEN(20,39))</f>
        <v>60</v>
      </c>
      <c r="G78">
        <f t="shared" ca="1" si="17"/>
        <v>12</v>
      </c>
      <c r="H78" t="str" cm="1">
        <f t="array" aca="1" ref="H78" ca="1">IF(OR(B78="主干路",B78="次干路"),_xlfn.IFS(F78=40,_xlfn.IFS(G78&gt;=25,"畅通",AND(G78&gt;=20,G78&lt;25),"轻度拥堵",AND(G78&gt;=15,G78&lt;20),"中度拥堵",AND(G78&gt;=0,G78&lt;15),"严重拥堵"),F78&lt;40,_xlfn.IFS(G78&gt;=25,"畅通",AND(G78&gt;=20,G78&lt;25),"轻度拥堵",AND(G78&gt;=10,G78&lt;20),"中度拥堵",AND(G78&gt;=0,G78&lt;10),"严重拥堵"),F78=50,_xlfn.IFS(G78&gt;=30,"畅通",AND(G78&gt;=25,G78&lt;30),"轻度拥堵",AND(G78&gt;=15,G78&lt;25),"中度拥堵",AND(G78&gt;=0,G78&lt;15),"严重拥堵"),F78=60,_xlfn.IFS(G78&gt;=35,"畅通",AND(G78&gt;=30,G78&lt;35),"轻度拥堵",AND(G78&gt;=20,G78&lt;30),"中度拥堵",AND(G78&gt;=0,G78&lt;20),"严重拥堵"),F78=70,_xlfn.IFS(G78&gt;=40,"畅通",AND(G78&gt;=30,G78&lt;40),"轻度拥堵",AND(G78&gt;=20,G78&lt;30),"中度拥堵",AND(G78&gt;=0,G78&lt;20),"严重拥堵"),F78=80,_xlfn.IFS(G78&gt;=45,"畅通",AND(G78&gt;=30,G78&lt;45),"轻度拥堵",AND(G78&gt;=20,G78&lt;30),"中度拥堵",AND(G78&gt;=0,G78&lt;20),"严重拥堵")),_xlfn.IFS(F78&lt;60,_xlfn.IFS(G78&gt;=40,"畅通",AND(G78&gt;=30,G78&lt;40),"轻度拥堵",AND(G78&gt;=20,G78&lt;30),"中度拥堵",AND(G78&gt;=0,G78&lt;20),"严重拥堵"),F78=60,_xlfn.IFS(G78&gt;=40,"畅通",AND(G78&gt;=30,G78&lt;40),"轻度拥堵",AND(G78&gt;=20,G78&lt;30),"中度拥堵",AND(G78&gt;=0,G78&lt;20),"严重拥堵"),F78=70,_xlfn.IFS(G78&gt;=45,"畅通",AND(G78&gt;=30,G78&lt;45),"轻度拥堵",AND(G78&gt;=20,G78&lt;30),"中度拥堵",AND(G78&gt;=0,G78&lt;20),"严重拥堵"),F78=80,_xlfn.IFS(G78&gt;=50,"畅通",AND(G78&gt;=35,G78&lt;50),"轻度拥堵",AND(G78&gt;=20,G78&lt;35),"中度拥堵",AND(G78&gt;=0,G78&lt;20),"严重拥堵"),F78=90,_xlfn.IFS(G78&gt;=55,"畅通",AND(G78&gt;=35,G78&lt;55),"轻度拥堵",AND(G78&gt;=20,G78&lt;35),"中度拥堵",AND(G78&gt;=0,G78&lt;20),"严重拥堵"),F78=100,_xlfn.IFS(G78&gt;=60,"畅通",AND(G78&gt;=40,G78&lt;60),"轻度拥堵",AND(G78&gt;=20,G78&lt;40),"中度拥堵",AND(G78&gt;=0,G78&lt;20),"严重拥堵"),F78=110,_xlfn.IFS(G78&gt;=65,"畅通",AND(G78&gt;=45,G78&lt;65),"轻度拥堵",AND(G78&gt;=25,G78&lt;45),"中度拥堵",AND(G78&gt;=0,G78&lt;25),"严重拥堵"),F78=120,_xlfn.IFS(G78&gt;=70,"畅通",AND(G78&gt;=50,G78&lt;70),"轻度拥堵",AND(G78&gt;=30,G78&lt;50),"中度拥堵",AND(G78&gt;=0,G78&lt;30),"严重拥堵")))</f>
        <v>严重拥堵</v>
      </c>
    </row>
    <row r="79" spans="1:8" x14ac:dyDescent="0.2">
      <c r="A79">
        <v>78</v>
      </c>
      <c r="B79" t="str" cm="1">
        <f t="array" aca="1" ref="B79" ca="1">INDIRECT("r"&amp;RANDBETWEEN(22,23))</f>
        <v>公路</v>
      </c>
      <c r="C79">
        <f t="shared" ca="1" si="14"/>
        <v>208</v>
      </c>
      <c r="D79">
        <f t="shared" ca="1" si="15"/>
        <v>3.7</v>
      </c>
      <c r="E79">
        <f t="shared" ca="1" si="16"/>
        <v>384.8</v>
      </c>
      <c r="F79" cm="1">
        <f t="array" aca="1" ref="F79" ca="1">INDIRECT("p"&amp;RANDBETWEEN(20,39))</f>
        <v>40</v>
      </c>
      <c r="G79">
        <f t="shared" ca="1" si="17"/>
        <v>2</v>
      </c>
      <c r="H79" t="str" cm="1">
        <f t="array" aca="1" ref="H79" ca="1">IF(OR(B79="主干路",B79="次干路"),_xlfn.IFS(F79=40,_xlfn.IFS(G79&gt;=25,"畅通",AND(G79&gt;=20,G79&lt;25),"轻度拥堵",AND(G79&gt;=15,G79&lt;20),"中度拥堵",AND(G79&gt;=0,G79&lt;15),"严重拥堵"),F79&lt;40,_xlfn.IFS(G79&gt;=25,"畅通",AND(G79&gt;=20,G79&lt;25),"轻度拥堵",AND(G79&gt;=10,G79&lt;20),"中度拥堵",AND(G79&gt;=0,G79&lt;10),"严重拥堵"),F79=50,_xlfn.IFS(G79&gt;=30,"畅通",AND(G79&gt;=25,G79&lt;30),"轻度拥堵",AND(G79&gt;=15,G79&lt;25),"中度拥堵",AND(G79&gt;=0,G79&lt;15),"严重拥堵"),F79=60,_xlfn.IFS(G79&gt;=35,"畅通",AND(G79&gt;=30,G79&lt;35),"轻度拥堵",AND(G79&gt;=20,G79&lt;30),"中度拥堵",AND(G79&gt;=0,G79&lt;20),"严重拥堵"),F79=70,_xlfn.IFS(G79&gt;=40,"畅通",AND(G79&gt;=30,G79&lt;40),"轻度拥堵",AND(G79&gt;=20,G79&lt;30),"中度拥堵",AND(G79&gt;=0,G79&lt;20),"严重拥堵"),F79=80,_xlfn.IFS(G79&gt;=45,"畅通",AND(G79&gt;=30,G79&lt;45),"轻度拥堵",AND(G79&gt;=20,G79&lt;30),"中度拥堵",AND(G79&gt;=0,G79&lt;20),"严重拥堵")),_xlfn.IFS(F79&lt;60,_xlfn.IFS(G79&gt;=40,"畅通",AND(G79&gt;=30,G79&lt;40),"轻度拥堵",AND(G79&gt;=20,G79&lt;30),"中度拥堵",AND(G79&gt;=0,G79&lt;20),"严重拥堵"),F79=60,_xlfn.IFS(G79&gt;=40,"畅通",AND(G79&gt;=30,G79&lt;40),"轻度拥堵",AND(G79&gt;=20,G79&lt;30),"中度拥堵",AND(G79&gt;=0,G79&lt;20),"严重拥堵"),F79=70,_xlfn.IFS(G79&gt;=45,"畅通",AND(G79&gt;=30,G79&lt;45),"轻度拥堵",AND(G79&gt;=20,G79&lt;30),"中度拥堵",AND(G79&gt;=0,G79&lt;20),"严重拥堵"),F79=80,_xlfn.IFS(G79&gt;=50,"畅通",AND(G79&gt;=35,G79&lt;50),"轻度拥堵",AND(G79&gt;=20,G79&lt;35),"中度拥堵",AND(G79&gt;=0,G79&lt;20),"严重拥堵"),F79=90,_xlfn.IFS(G79&gt;=55,"畅通",AND(G79&gt;=35,G79&lt;55),"轻度拥堵",AND(G79&gt;=20,G79&lt;35),"中度拥堵",AND(G79&gt;=0,G79&lt;20),"严重拥堵"),F79=100,_xlfn.IFS(G79&gt;=60,"畅通",AND(G79&gt;=40,G79&lt;60),"轻度拥堵",AND(G79&gt;=20,G79&lt;40),"中度拥堵",AND(G79&gt;=0,G79&lt;20),"严重拥堵"),F79=110,_xlfn.IFS(G79&gt;=65,"畅通",AND(G79&gt;=45,G79&lt;65),"轻度拥堵",AND(G79&gt;=25,G79&lt;45),"中度拥堵",AND(G79&gt;=0,G79&lt;25),"严重拥堵"),F79=120,_xlfn.IFS(G79&gt;=70,"畅通",AND(G79&gt;=50,G79&lt;70),"轻度拥堵",AND(G79&gt;=30,G79&lt;50),"中度拥堵",AND(G79&gt;=0,G79&lt;30),"严重拥堵")))</f>
        <v>严重拥堵</v>
      </c>
    </row>
    <row r="80" spans="1:8" x14ac:dyDescent="0.2">
      <c r="A80">
        <v>79</v>
      </c>
      <c r="B80" t="str" cm="1">
        <f t="array" aca="1" ref="B80" ca="1">INDIRECT("r"&amp;RANDBETWEEN(22,23))</f>
        <v>城市快速路</v>
      </c>
      <c r="C80">
        <f t="shared" ca="1" si="14"/>
        <v>448</v>
      </c>
      <c r="D80">
        <f t="shared" ca="1" si="15"/>
        <v>3.9</v>
      </c>
      <c r="E80">
        <f t="shared" ca="1" si="16"/>
        <v>21.57</v>
      </c>
      <c r="F80" cm="1">
        <f t="array" aca="1" ref="F80" ca="1">INDIRECT("p"&amp;RANDBETWEEN(20,39))</f>
        <v>90</v>
      </c>
      <c r="G80">
        <f t="shared" ca="1" si="17"/>
        <v>81</v>
      </c>
      <c r="H80" t="str" cm="1">
        <f t="array" aca="1" ref="H80" ca="1">IF(OR(B80="主干路",B80="次干路"),_xlfn.IFS(F80=40,_xlfn.IFS(G80&gt;=25,"畅通",AND(G80&gt;=20,G80&lt;25),"轻度拥堵",AND(G80&gt;=15,G80&lt;20),"中度拥堵",AND(G80&gt;=0,G80&lt;15),"严重拥堵"),F80&lt;40,_xlfn.IFS(G80&gt;=25,"畅通",AND(G80&gt;=20,G80&lt;25),"轻度拥堵",AND(G80&gt;=10,G80&lt;20),"中度拥堵",AND(G80&gt;=0,G80&lt;10),"严重拥堵"),F80=50,_xlfn.IFS(G80&gt;=30,"畅通",AND(G80&gt;=25,G80&lt;30),"轻度拥堵",AND(G80&gt;=15,G80&lt;25),"中度拥堵",AND(G80&gt;=0,G80&lt;15),"严重拥堵"),F80=60,_xlfn.IFS(G80&gt;=35,"畅通",AND(G80&gt;=30,G80&lt;35),"轻度拥堵",AND(G80&gt;=20,G80&lt;30),"中度拥堵",AND(G80&gt;=0,G80&lt;20),"严重拥堵"),F80=70,_xlfn.IFS(G80&gt;=40,"畅通",AND(G80&gt;=30,G80&lt;40),"轻度拥堵",AND(G80&gt;=20,G80&lt;30),"中度拥堵",AND(G80&gt;=0,G80&lt;20),"严重拥堵"),F80=80,_xlfn.IFS(G80&gt;=45,"畅通",AND(G80&gt;=30,G80&lt;45),"轻度拥堵",AND(G80&gt;=20,G80&lt;30),"中度拥堵",AND(G80&gt;=0,G80&lt;20),"严重拥堵")),_xlfn.IFS(F80&lt;60,_xlfn.IFS(G80&gt;=40,"畅通",AND(G80&gt;=30,G80&lt;40),"轻度拥堵",AND(G80&gt;=20,G80&lt;30),"中度拥堵",AND(G80&gt;=0,G80&lt;20),"严重拥堵"),F80=60,_xlfn.IFS(G80&gt;=40,"畅通",AND(G80&gt;=30,G80&lt;40),"轻度拥堵",AND(G80&gt;=20,G80&lt;30),"中度拥堵",AND(G80&gt;=0,G80&lt;20),"严重拥堵"),F80=70,_xlfn.IFS(G80&gt;=45,"畅通",AND(G80&gt;=30,G80&lt;45),"轻度拥堵",AND(G80&gt;=20,G80&lt;30),"中度拥堵",AND(G80&gt;=0,G80&lt;20),"严重拥堵"),F80=80,_xlfn.IFS(G80&gt;=50,"畅通",AND(G80&gt;=35,G80&lt;50),"轻度拥堵",AND(G80&gt;=20,G80&lt;35),"中度拥堵",AND(G80&gt;=0,G80&lt;20),"严重拥堵"),F80=90,_xlfn.IFS(G80&gt;=55,"畅通",AND(G80&gt;=35,G80&lt;55),"轻度拥堵",AND(G80&gt;=20,G80&lt;35),"中度拥堵",AND(G80&gt;=0,G80&lt;20),"严重拥堵"),F80=100,_xlfn.IFS(G80&gt;=60,"畅通",AND(G80&gt;=40,G80&lt;60),"轻度拥堵",AND(G80&gt;=20,G80&lt;40),"中度拥堵",AND(G80&gt;=0,G80&lt;20),"严重拥堵"),F80=110,_xlfn.IFS(G80&gt;=65,"畅通",AND(G80&gt;=45,G80&lt;65),"轻度拥堵",AND(G80&gt;=25,G80&lt;45),"中度拥堵",AND(G80&gt;=0,G80&lt;25),"严重拥堵"),F80=120,_xlfn.IFS(G80&gt;=70,"畅通",AND(G80&gt;=50,G80&lt;70),"轻度拥堵",AND(G80&gt;=30,G80&lt;50),"中度拥堵",AND(G80&gt;=0,G80&lt;30),"严重拥堵")))</f>
        <v>畅通</v>
      </c>
    </row>
    <row r="81" spans="1:8" x14ac:dyDescent="0.2">
      <c r="A81">
        <v>80</v>
      </c>
      <c r="B81" t="str" cm="1">
        <f t="array" aca="1" ref="B81" ca="1">INDIRECT("r"&amp;RANDBETWEEN(22,23))</f>
        <v>公路</v>
      </c>
      <c r="C81">
        <f t="shared" ca="1" si="14"/>
        <v>210</v>
      </c>
      <c r="D81">
        <f t="shared" ca="1" si="15"/>
        <v>4.0999999999999996</v>
      </c>
      <c r="E81">
        <f t="shared" ca="1" si="16"/>
        <v>61.5</v>
      </c>
      <c r="F81" cm="1">
        <f t="array" aca="1" ref="F81" ca="1">INDIRECT("p"&amp;RANDBETWEEN(20,39))</f>
        <v>40</v>
      </c>
      <c r="G81">
        <f t="shared" ca="1" si="17"/>
        <v>14</v>
      </c>
      <c r="H81" t="str" cm="1">
        <f t="array" aca="1" ref="H81" ca="1">IF(OR(B81="主干路",B81="次干路"),_xlfn.IFS(F81=40,_xlfn.IFS(G81&gt;=25,"畅通",AND(G81&gt;=20,G81&lt;25),"轻度拥堵",AND(G81&gt;=15,G81&lt;20),"中度拥堵",AND(G81&gt;=0,G81&lt;15),"严重拥堵"),F81&lt;40,_xlfn.IFS(G81&gt;=25,"畅通",AND(G81&gt;=20,G81&lt;25),"轻度拥堵",AND(G81&gt;=10,G81&lt;20),"中度拥堵",AND(G81&gt;=0,G81&lt;10),"严重拥堵"),F81=50,_xlfn.IFS(G81&gt;=30,"畅通",AND(G81&gt;=25,G81&lt;30),"轻度拥堵",AND(G81&gt;=15,G81&lt;25),"中度拥堵",AND(G81&gt;=0,G81&lt;15),"严重拥堵"),F81=60,_xlfn.IFS(G81&gt;=35,"畅通",AND(G81&gt;=30,G81&lt;35),"轻度拥堵",AND(G81&gt;=20,G81&lt;30),"中度拥堵",AND(G81&gt;=0,G81&lt;20),"严重拥堵"),F81=70,_xlfn.IFS(G81&gt;=40,"畅通",AND(G81&gt;=30,G81&lt;40),"轻度拥堵",AND(G81&gt;=20,G81&lt;30),"中度拥堵",AND(G81&gt;=0,G81&lt;20),"严重拥堵"),F81=80,_xlfn.IFS(G81&gt;=45,"畅通",AND(G81&gt;=30,G81&lt;45),"轻度拥堵",AND(G81&gt;=20,G81&lt;30),"中度拥堵",AND(G81&gt;=0,G81&lt;20),"严重拥堵")),_xlfn.IFS(F81&lt;60,_xlfn.IFS(G81&gt;=40,"畅通",AND(G81&gt;=30,G81&lt;40),"轻度拥堵",AND(G81&gt;=20,G81&lt;30),"中度拥堵",AND(G81&gt;=0,G81&lt;20),"严重拥堵"),F81=60,_xlfn.IFS(G81&gt;=40,"畅通",AND(G81&gt;=30,G81&lt;40),"轻度拥堵",AND(G81&gt;=20,G81&lt;30),"中度拥堵",AND(G81&gt;=0,G81&lt;20),"严重拥堵"),F81=70,_xlfn.IFS(G81&gt;=45,"畅通",AND(G81&gt;=30,G81&lt;45),"轻度拥堵",AND(G81&gt;=20,G81&lt;30),"中度拥堵",AND(G81&gt;=0,G81&lt;20),"严重拥堵"),F81=80,_xlfn.IFS(G81&gt;=50,"畅通",AND(G81&gt;=35,G81&lt;50),"轻度拥堵",AND(G81&gt;=20,G81&lt;35),"中度拥堵",AND(G81&gt;=0,G81&lt;20),"严重拥堵"),F81=90,_xlfn.IFS(G81&gt;=55,"畅通",AND(G81&gt;=35,G81&lt;55),"轻度拥堵",AND(G81&gt;=20,G81&lt;35),"中度拥堵",AND(G81&gt;=0,G81&lt;20),"严重拥堵"),F81=100,_xlfn.IFS(G81&gt;=60,"畅通",AND(G81&gt;=40,G81&lt;60),"轻度拥堵",AND(G81&gt;=20,G81&lt;40),"中度拥堵",AND(G81&gt;=0,G81&lt;20),"严重拥堵"),F81=110,_xlfn.IFS(G81&gt;=65,"畅通",AND(G81&gt;=45,G81&lt;65),"轻度拥堵",AND(G81&gt;=25,G81&lt;45),"中度拥堵",AND(G81&gt;=0,G81&lt;25),"严重拥堵"),F81=120,_xlfn.IFS(G81&gt;=70,"畅通",AND(G81&gt;=50,G81&lt;70),"轻度拥堵",AND(G81&gt;=30,G81&lt;50),"中度拥堵",AND(G81&gt;=0,G81&lt;30),"严重拥堵")))</f>
        <v>严重拥堵</v>
      </c>
    </row>
    <row r="82" spans="1:8" x14ac:dyDescent="0.2">
      <c r="A82">
        <v>81</v>
      </c>
      <c r="B82" t="str" cm="1">
        <f t="array" aca="1" ref="B82" ca="1">INDIRECT("s"&amp;RANDBETWEEN(22,23))</f>
        <v>次干路</v>
      </c>
      <c r="C82">
        <f ca="1">RANDBETWEEN(78,182)</f>
        <v>122</v>
      </c>
      <c r="D82">
        <f ca="1">RANDBETWEEN(5,30)/10</f>
        <v>2.9</v>
      </c>
      <c r="E82">
        <f t="shared" ca="1" si="16"/>
        <v>10.41</v>
      </c>
      <c r="F82" cm="1">
        <f t="array" aca="1" ref="F82" ca="1">INDIRECT("q"&amp;RANDBETWEEN(20,38))</f>
        <v>60</v>
      </c>
      <c r="G82">
        <f t="shared" ca="1" si="17"/>
        <v>34</v>
      </c>
      <c r="H82" t="str" cm="1">
        <f t="array" aca="1" ref="H82" ca="1">IF(OR(B82="主干路",B82="次干路"),_xlfn.IFS(F82=40,_xlfn.IFS(G82&gt;=25,"畅通",AND(G82&gt;=20,G82&lt;25),"轻度拥堵",AND(G82&gt;=15,G82&lt;20),"中度拥堵",AND(G82&gt;=0,G82&lt;15),"严重拥堵"),F82&lt;40,_xlfn.IFS(G82&gt;=25,"畅通",AND(G82&gt;=20,G82&lt;25),"轻度拥堵",AND(G82&gt;=10,G82&lt;20),"中度拥堵",AND(G82&gt;=0,G82&lt;10),"严重拥堵"),F82=50,_xlfn.IFS(G82&gt;=30,"畅通",AND(G82&gt;=25,G82&lt;30),"轻度拥堵",AND(G82&gt;=15,G82&lt;25),"中度拥堵",AND(G82&gt;=0,G82&lt;15),"严重拥堵"),F82=60,_xlfn.IFS(G82&gt;=35,"畅通",AND(G82&gt;=30,G82&lt;35),"轻度拥堵",AND(G82&gt;=20,G82&lt;30),"中度拥堵",AND(G82&gt;=0,G82&lt;20),"严重拥堵"),F82=70,_xlfn.IFS(G82&gt;=40,"畅通",AND(G82&gt;=30,G82&lt;40),"轻度拥堵",AND(G82&gt;=20,G82&lt;30),"中度拥堵",AND(G82&gt;=0,G82&lt;20),"严重拥堵"),F82=80,_xlfn.IFS(G82&gt;=45,"畅通",AND(G82&gt;=30,G82&lt;45),"轻度拥堵",AND(G82&gt;=20,G82&lt;30),"中度拥堵",AND(G82&gt;=0,G82&lt;20),"严重拥堵")),_xlfn.IFS(F82&lt;60,_xlfn.IFS(G82&gt;=40,"畅通",AND(G82&gt;=30,G82&lt;40),"轻度拥堵",AND(G82&gt;=20,G82&lt;30),"中度拥堵",AND(G82&gt;=0,G82&lt;20),"严重拥堵"),F82=60,_xlfn.IFS(G82&gt;=40,"畅通",AND(G82&gt;=30,G82&lt;40),"轻度拥堵",AND(G82&gt;=20,G82&lt;30),"中度拥堵",AND(G82&gt;=0,G82&lt;20),"严重拥堵"),F82=70,_xlfn.IFS(G82&gt;=45,"畅通",AND(G82&gt;=20,G82&lt;25),"轻度拥堵",AND(G82&gt;=10,G82&lt;20),"中度拥堵",AND(G82&gt;=0,G82&lt;10),"严重拥堵"),F82=80,_xlfn.IFS(G82&gt;=50,"畅通",AND(G82&gt;=35,G82&lt;50),"轻度拥堵",AND(G82&gt;=20,G82&lt;35),"中度拥堵",AND(G82&gt;=0,G82&lt;20),"严重拥堵"),F82=90,_xlfn.IFS(G82&gt;=55,"畅通",AND(G82&gt;=35,G82&lt;55),"轻度拥堵",AND(G82&gt;=20,G82&lt;35),"中度拥堵",AND(G82&gt;=0,G82&lt;20),"严重拥堵"),F82=100,_xlfn.IFS(G82&gt;=60,"畅通",AND(G82&gt;=40,G82&lt;60),"轻度拥堵",AND(G82&gt;=20,G82&lt;40),"中度拥堵",AND(G82&gt;=0,G82&lt;20),"严重拥堵"),F82=110,_xlfn.IFS(G82&gt;=65,"畅通",AND(G82&gt;=45,G82&lt;65),"轻度拥堵",AND(G82&gt;=25,G82&lt;45),"中度拥堵",AND(G82&gt;=0,G82&lt;25),"严重拥堵"),F82=120,_xlfn.IFS(G82&gt;=70,"畅通",AND(G82&gt;=50,G82&lt;70),"轻度拥堵",AND(G82&gt;=30,G82&lt;50),"中度拥堵",AND(G82&gt;=0,G82&lt;30),"严重拥堵")))</f>
        <v>轻度拥堵</v>
      </c>
    </row>
    <row r="83" spans="1:8" x14ac:dyDescent="0.2">
      <c r="A83">
        <v>82</v>
      </c>
      <c r="B83" t="str" cm="1">
        <f t="array" aca="1" ref="B83" ca="1">INDIRECT("r"&amp;RANDBETWEEN(22,23))</f>
        <v>公路</v>
      </c>
      <c r="C83">
        <f ca="1">RANDBETWEEN(145,482)</f>
        <v>315</v>
      </c>
      <c r="D83">
        <f ca="1">RANDBETWEEN(20,50)/10</f>
        <v>3.4</v>
      </c>
      <c r="E83">
        <f t="shared" ca="1" si="16"/>
        <v>17</v>
      </c>
      <c r="F83" cm="1">
        <f t="array" aca="1" ref="F83" ca="1">INDIRECT("p"&amp;RANDBETWEEN(20,39))</f>
        <v>90</v>
      </c>
      <c r="G83">
        <f t="shared" ca="1" si="17"/>
        <v>63</v>
      </c>
      <c r="H83" t="str" cm="1">
        <f t="array" aca="1" ref="H83" ca="1">IF(OR(B83="主干路",B83="次干路"),_xlfn.IFS(F83=40,_xlfn.IFS(G83&gt;=25,"畅通",AND(G83&gt;=20,G83&lt;25),"轻度拥堵",AND(G83&gt;=15,G83&lt;20),"中度拥堵",AND(G83&gt;=0,G83&lt;15),"严重拥堵"),F83&lt;40,_xlfn.IFS(G83&gt;=25,"畅通",AND(G83&gt;=20,G83&lt;25),"轻度拥堵",AND(G83&gt;=10,G83&lt;20),"中度拥堵",AND(G83&gt;=0,G83&lt;10),"严重拥堵"),F83=50,_xlfn.IFS(G83&gt;=30,"畅通",AND(G83&gt;=25,G83&lt;30),"轻度拥堵",AND(G83&gt;=15,G83&lt;25),"中度拥堵",AND(G83&gt;=0,G83&lt;15),"严重拥堵"),F83=60,_xlfn.IFS(G83&gt;=35,"畅通",AND(G83&gt;=30,G83&lt;35),"轻度拥堵",AND(G83&gt;=20,G83&lt;30),"中度拥堵",AND(G83&gt;=0,G83&lt;20),"严重拥堵"),F83=70,_xlfn.IFS(G83&gt;=40,"畅通",AND(G83&gt;=30,G83&lt;40),"轻度拥堵",AND(G83&gt;=20,G83&lt;30),"中度拥堵",AND(G83&gt;=0,G83&lt;20),"严重拥堵"),F83=80,_xlfn.IFS(G83&gt;=45,"畅通",AND(G83&gt;=30,G83&lt;45),"轻度拥堵",AND(G83&gt;=20,G83&lt;30),"中度拥堵",AND(G83&gt;=0,G83&lt;20),"严重拥堵")),_xlfn.IFS(F83&lt;60,_xlfn.IFS(G83&gt;=40,"畅通",AND(G83&gt;=30,G83&lt;40),"轻度拥堵",AND(G83&gt;=20,G83&lt;30),"中度拥堵",AND(G83&gt;=0,G83&lt;20),"严重拥堵"),F83=60,_xlfn.IFS(G83&gt;=40,"畅通",AND(G83&gt;=30,G83&lt;40),"轻度拥堵",AND(G83&gt;=20,G83&lt;30),"中度拥堵",AND(G83&gt;=0,G83&lt;20),"严重拥堵"),F83=70,_xlfn.IFS(G83&gt;=45,"畅通",AND(G83&gt;=30,G83&lt;45),"轻度拥堵",AND(G83&gt;=20,G83&lt;30),"中度拥堵",AND(G83&gt;=0,G83&lt;20),"严重拥堵"),F83=80,_xlfn.IFS(G83&gt;=50,"畅通",AND(G83&gt;=35,G83&lt;50),"轻度拥堵",AND(G83&gt;=20,G83&lt;35),"中度拥堵",AND(G83&gt;=0,G83&lt;20),"严重拥堵"),F83=90,_xlfn.IFS(G83&gt;=55,"畅通",AND(G83&gt;=35,G83&lt;55),"轻度拥堵",AND(G83&gt;=20,G83&lt;35),"中度拥堵",AND(G83&gt;=0,G83&lt;20),"严重拥堵"),F83=100,_xlfn.IFS(G83&gt;=60,"畅通",AND(G83&gt;=40,G83&lt;60),"轻度拥堵",AND(G83&gt;=20,G83&lt;40),"中度拥堵",AND(G83&gt;=0,G83&lt;20),"严重拥堵"),F83=110,_xlfn.IFS(G83&gt;=65,"畅通",AND(G83&gt;=45,G83&lt;65),"轻度拥堵",AND(G83&gt;=25,G83&lt;45),"中度拥堵",AND(G83&gt;=0,G83&lt;25),"严重拥堵"),F83=120,_xlfn.IFS(G83&gt;=70,"畅通",AND(G83&gt;=50,G83&lt;70),"轻度拥堵",AND(G83&gt;=30,G83&lt;50),"中度拥堵",AND(G83&gt;=0,G83&lt;30),"严重拥堵")))</f>
        <v>畅通</v>
      </c>
    </row>
    <row r="84" spans="1:8" x14ac:dyDescent="0.2">
      <c r="A84">
        <v>83</v>
      </c>
      <c r="B84" t="str" cm="1">
        <f t="array" aca="1" ref="B84" ca="1">INDIRECT("s"&amp;RANDBETWEEN(22,23))</f>
        <v>主干路</v>
      </c>
      <c r="C84">
        <f t="shared" ref="C84:C89" ca="1" si="18">RANDBETWEEN(78,182)</f>
        <v>168</v>
      </c>
      <c r="D84">
        <f t="shared" ref="D84:D89" ca="1" si="19">RANDBETWEEN(5,30)/10</f>
        <v>2.8</v>
      </c>
      <c r="E84">
        <f t="shared" ca="1" si="16"/>
        <v>18.82</v>
      </c>
      <c r="F84" cm="1">
        <f t="array" aca="1" ref="F84" ca="1">INDIRECT("q"&amp;RANDBETWEEN(20,38))</f>
        <v>60</v>
      </c>
      <c r="G84">
        <f t="shared" ca="1" si="17"/>
        <v>25</v>
      </c>
      <c r="H84" t="str" cm="1">
        <f t="array" aca="1" ref="H84" ca="1">IF(OR(B84="主干路",B84="次干路"),_xlfn.IFS(F84=40,_xlfn.IFS(G84&gt;=25,"畅通",AND(G84&gt;=20,G84&lt;25),"轻度拥堵",AND(G84&gt;=15,G84&lt;20),"中度拥堵",AND(G84&gt;=0,G84&lt;15),"严重拥堵"),F84&lt;40,_xlfn.IFS(G84&gt;=25,"畅通",AND(G84&gt;=20,G84&lt;25),"轻度拥堵",AND(G84&gt;=10,G84&lt;20),"中度拥堵",AND(G84&gt;=0,G84&lt;10),"严重拥堵"),F84=50,_xlfn.IFS(G84&gt;=30,"畅通",AND(G84&gt;=25,G84&lt;30),"轻度拥堵",AND(G84&gt;=15,G84&lt;25),"中度拥堵",AND(G84&gt;=0,G84&lt;15),"严重拥堵"),F84=60,_xlfn.IFS(G84&gt;=35,"畅通",AND(G84&gt;=30,G84&lt;35),"轻度拥堵",AND(G84&gt;=20,G84&lt;30),"中度拥堵",AND(G84&gt;=0,G84&lt;20),"严重拥堵"),F84=70,_xlfn.IFS(G84&gt;=40,"畅通",AND(G84&gt;=30,G84&lt;40),"轻度拥堵",AND(G84&gt;=20,G84&lt;30),"中度拥堵",AND(G84&gt;=0,G84&lt;20),"严重拥堵"),F84=80,_xlfn.IFS(G84&gt;=45,"畅通",AND(G84&gt;=30,G84&lt;45),"轻度拥堵",AND(G84&gt;=20,G84&lt;30),"中度拥堵",AND(G84&gt;=0,G84&lt;20),"严重拥堵")),_xlfn.IFS(F84&lt;60,_xlfn.IFS(G84&gt;=40,"畅通",AND(G84&gt;=30,G84&lt;40),"轻度拥堵",AND(G84&gt;=20,G84&lt;30),"中度拥堵",AND(G84&gt;=0,G84&lt;20),"严重拥堵"),F84=60,_xlfn.IFS(G84&gt;=40,"畅通",AND(G84&gt;=30,G84&lt;40),"轻度拥堵",AND(G84&gt;=20,G84&lt;30),"中度拥堵",AND(G84&gt;=0,G84&lt;20),"严重拥堵"),F84=70,_xlfn.IFS(G84&gt;=45,"畅通",AND(G84&gt;=20,G84&lt;25),"轻度拥堵",AND(G84&gt;=10,G84&lt;20),"中度拥堵",AND(G84&gt;=0,G84&lt;10),"严重拥堵"),F84=80,_xlfn.IFS(G84&gt;=50,"畅通",AND(G84&gt;=35,G84&lt;50),"轻度拥堵",AND(G84&gt;=20,G84&lt;35),"中度拥堵",AND(G84&gt;=0,G84&lt;20),"严重拥堵"),F84=90,_xlfn.IFS(G84&gt;=55,"畅通",AND(G84&gt;=35,G84&lt;55),"轻度拥堵",AND(G84&gt;=20,G84&lt;35),"中度拥堵",AND(G84&gt;=0,G84&lt;20),"严重拥堵"),F84=100,_xlfn.IFS(G84&gt;=60,"畅通",AND(G84&gt;=40,G84&lt;60),"轻度拥堵",AND(G84&gt;=20,G84&lt;40),"中度拥堵",AND(G84&gt;=0,G84&lt;20),"严重拥堵"),F84=110,_xlfn.IFS(G84&gt;=65,"畅通",AND(G84&gt;=45,G84&lt;65),"轻度拥堵",AND(G84&gt;=25,G84&lt;45),"中度拥堵",AND(G84&gt;=0,G84&lt;25),"严重拥堵"),F84=120,_xlfn.IFS(G84&gt;=70,"畅通",AND(G84&gt;=50,G84&lt;70),"轻度拥堵",AND(G84&gt;=30,G84&lt;50),"中度拥堵",AND(G84&gt;=0,G84&lt;30),"严重拥堵")))</f>
        <v>中度拥堵</v>
      </c>
    </row>
    <row r="85" spans="1:8" x14ac:dyDescent="0.2">
      <c r="A85">
        <v>84</v>
      </c>
      <c r="B85" t="str" cm="1">
        <f t="array" aca="1" ref="B85" ca="1">INDIRECT("s"&amp;RANDBETWEEN(22,23))</f>
        <v>主干路</v>
      </c>
      <c r="C85">
        <f t="shared" ca="1" si="18"/>
        <v>170</v>
      </c>
      <c r="D85">
        <f t="shared" ca="1" si="19"/>
        <v>1.4</v>
      </c>
      <c r="E85">
        <f t="shared" ca="1" si="16"/>
        <v>5.53</v>
      </c>
      <c r="F85" cm="1">
        <f t="array" aca="1" ref="F85" ca="1">INDIRECT("q"&amp;RANDBETWEEN(20,38))</f>
        <v>60</v>
      </c>
      <c r="G85">
        <f t="shared" ca="1" si="17"/>
        <v>43</v>
      </c>
      <c r="H85" t="str" cm="1">
        <f t="array" aca="1" ref="H85" ca="1">IF(OR(B85="主干路",B85="次干路"),_xlfn.IFS(F85=40,_xlfn.IFS(G85&gt;=25,"畅通",AND(G85&gt;=20,G85&lt;25),"轻度拥堵",AND(G85&gt;=15,G85&lt;20),"中度拥堵",AND(G85&gt;=0,G85&lt;15),"严重拥堵"),F85&lt;40,_xlfn.IFS(G85&gt;=25,"畅通",AND(G85&gt;=20,G85&lt;25),"轻度拥堵",AND(G85&gt;=10,G85&lt;20),"中度拥堵",AND(G85&gt;=0,G85&lt;10),"严重拥堵"),F85=50,_xlfn.IFS(G85&gt;=30,"畅通",AND(G85&gt;=25,G85&lt;30),"轻度拥堵",AND(G85&gt;=15,G85&lt;25),"中度拥堵",AND(G85&gt;=0,G85&lt;15),"严重拥堵"),F85=60,_xlfn.IFS(G85&gt;=35,"畅通",AND(G85&gt;=30,G85&lt;35),"轻度拥堵",AND(G85&gt;=20,G85&lt;30),"中度拥堵",AND(G85&gt;=0,G85&lt;20),"严重拥堵"),F85=70,_xlfn.IFS(G85&gt;=40,"畅通",AND(G85&gt;=30,G85&lt;40),"轻度拥堵",AND(G85&gt;=20,G85&lt;30),"中度拥堵",AND(G85&gt;=0,G85&lt;20),"严重拥堵"),F85=80,_xlfn.IFS(G85&gt;=45,"畅通",AND(G85&gt;=30,G85&lt;45),"轻度拥堵",AND(G85&gt;=20,G85&lt;30),"中度拥堵",AND(G85&gt;=0,G85&lt;20),"严重拥堵")),_xlfn.IFS(F85&lt;60,_xlfn.IFS(G85&gt;=40,"畅通",AND(G85&gt;=30,G85&lt;40),"轻度拥堵",AND(G85&gt;=20,G85&lt;30),"中度拥堵",AND(G85&gt;=0,G85&lt;20),"严重拥堵"),F85=60,_xlfn.IFS(G85&gt;=40,"畅通",AND(G85&gt;=30,G85&lt;40),"轻度拥堵",AND(G85&gt;=20,G85&lt;30),"中度拥堵",AND(G85&gt;=0,G85&lt;20),"严重拥堵"),F85=70,_xlfn.IFS(G85&gt;=45,"畅通",AND(G85&gt;=20,G85&lt;25),"轻度拥堵",AND(G85&gt;=10,G85&lt;20),"中度拥堵",AND(G85&gt;=0,G85&lt;10),"严重拥堵"),F85=80,_xlfn.IFS(G85&gt;=50,"畅通",AND(G85&gt;=35,G85&lt;50),"轻度拥堵",AND(G85&gt;=20,G85&lt;35),"中度拥堵",AND(G85&gt;=0,G85&lt;20),"严重拥堵"),F85=90,_xlfn.IFS(G85&gt;=55,"畅通",AND(G85&gt;=35,G85&lt;55),"轻度拥堵",AND(G85&gt;=20,G85&lt;35),"中度拥堵",AND(G85&gt;=0,G85&lt;20),"严重拥堵"),F85=100,_xlfn.IFS(G85&gt;=60,"畅通",AND(G85&gt;=40,G85&lt;60),"轻度拥堵",AND(G85&gt;=20,G85&lt;40),"中度拥堵",AND(G85&gt;=0,G85&lt;20),"严重拥堵"),F85=110,_xlfn.IFS(G85&gt;=65,"畅通",AND(G85&gt;=45,G85&lt;65),"轻度拥堵",AND(G85&gt;=25,G85&lt;45),"中度拥堵",AND(G85&gt;=0,G85&lt;25),"严重拥堵"),F85=120,_xlfn.IFS(G85&gt;=70,"畅通",AND(G85&gt;=50,G85&lt;70),"轻度拥堵",AND(G85&gt;=30,G85&lt;50),"中度拥堵",AND(G85&gt;=0,G85&lt;30),"严重拥堵")))</f>
        <v>畅通</v>
      </c>
    </row>
    <row r="86" spans="1:8" x14ac:dyDescent="0.2">
      <c r="A86">
        <v>85</v>
      </c>
      <c r="B86" t="str" cm="1">
        <f t="array" aca="1" ref="B86" ca="1">INDIRECT("s"&amp;RANDBETWEEN(22,23))</f>
        <v>主干路</v>
      </c>
      <c r="C86">
        <f t="shared" ca="1" si="18"/>
        <v>136</v>
      </c>
      <c r="D86">
        <f t="shared" ca="1" si="19"/>
        <v>2</v>
      </c>
      <c r="E86">
        <f t="shared" ca="1" si="16"/>
        <v>19.43</v>
      </c>
      <c r="F86" cm="1">
        <f t="array" aca="1" ref="F86" ca="1">INDIRECT("q"&amp;RANDBETWEEN(20,38))</f>
        <v>60</v>
      </c>
      <c r="G86">
        <f t="shared" ca="1" si="17"/>
        <v>14</v>
      </c>
      <c r="H86" t="str" cm="1">
        <f t="array" aca="1" ref="H86" ca="1">IF(OR(B86="主干路",B86="次干路"),_xlfn.IFS(F86=40,_xlfn.IFS(G86&gt;=25,"畅通",AND(G86&gt;=20,G86&lt;25),"轻度拥堵",AND(G86&gt;=15,G86&lt;20),"中度拥堵",AND(G86&gt;=0,G86&lt;15),"严重拥堵"),F86&lt;40,_xlfn.IFS(G86&gt;=25,"畅通",AND(G86&gt;=20,G86&lt;25),"轻度拥堵",AND(G86&gt;=10,G86&lt;20),"中度拥堵",AND(G86&gt;=0,G86&lt;10),"严重拥堵"),F86=50,_xlfn.IFS(G86&gt;=30,"畅通",AND(G86&gt;=25,G86&lt;30),"轻度拥堵",AND(G86&gt;=15,G86&lt;25),"中度拥堵",AND(G86&gt;=0,G86&lt;15),"严重拥堵"),F86=60,_xlfn.IFS(G86&gt;=35,"畅通",AND(G86&gt;=30,G86&lt;35),"轻度拥堵",AND(G86&gt;=20,G86&lt;30),"中度拥堵",AND(G86&gt;=0,G86&lt;20),"严重拥堵"),F86=70,_xlfn.IFS(G86&gt;=40,"畅通",AND(G86&gt;=30,G86&lt;40),"轻度拥堵",AND(G86&gt;=20,G86&lt;30),"中度拥堵",AND(G86&gt;=0,G86&lt;20),"严重拥堵"),F86=80,_xlfn.IFS(G86&gt;=45,"畅通",AND(G86&gt;=30,G86&lt;45),"轻度拥堵",AND(G86&gt;=20,G86&lt;30),"中度拥堵",AND(G86&gt;=0,G86&lt;20),"严重拥堵")),_xlfn.IFS(F86&lt;60,_xlfn.IFS(G86&gt;=40,"畅通",AND(G86&gt;=30,G86&lt;40),"轻度拥堵",AND(G86&gt;=20,G86&lt;30),"中度拥堵",AND(G86&gt;=0,G86&lt;20),"严重拥堵"),F86=60,_xlfn.IFS(G86&gt;=40,"畅通",AND(G86&gt;=30,G86&lt;40),"轻度拥堵",AND(G86&gt;=20,G86&lt;30),"中度拥堵",AND(G86&gt;=0,G86&lt;20),"严重拥堵"),F86=70,_xlfn.IFS(G86&gt;=45,"畅通",AND(G86&gt;=20,G86&lt;25),"轻度拥堵",AND(G86&gt;=10,G86&lt;20),"中度拥堵",AND(G86&gt;=0,G86&lt;10),"严重拥堵"),F86=80,_xlfn.IFS(G86&gt;=50,"畅通",AND(G86&gt;=35,G86&lt;50),"轻度拥堵",AND(G86&gt;=20,G86&lt;35),"中度拥堵",AND(G86&gt;=0,G86&lt;20),"严重拥堵"),F86=90,_xlfn.IFS(G86&gt;=55,"畅通",AND(G86&gt;=35,G86&lt;55),"轻度拥堵",AND(G86&gt;=20,G86&lt;35),"中度拥堵",AND(G86&gt;=0,G86&lt;20),"严重拥堵"),F86=100,_xlfn.IFS(G86&gt;=60,"畅通",AND(G86&gt;=40,G86&lt;60),"轻度拥堵",AND(G86&gt;=20,G86&lt;40),"中度拥堵",AND(G86&gt;=0,G86&lt;20),"严重拥堵"),F86=110,_xlfn.IFS(G86&gt;=65,"畅通",AND(G86&gt;=45,G86&lt;65),"轻度拥堵",AND(G86&gt;=25,G86&lt;45),"中度拥堵",AND(G86&gt;=0,G86&lt;25),"严重拥堵"),F86=120,_xlfn.IFS(G86&gt;=70,"畅通",AND(G86&gt;=50,G86&lt;70),"轻度拥堵",AND(G86&gt;=30,G86&lt;50),"中度拥堵",AND(G86&gt;=0,G86&lt;30),"严重拥堵")))</f>
        <v>严重拥堵</v>
      </c>
    </row>
    <row r="87" spans="1:8" x14ac:dyDescent="0.2">
      <c r="A87">
        <v>86</v>
      </c>
      <c r="B87" t="str" cm="1">
        <f t="array" aca="1" ref="B87" ca="1">INDIRECT("s"&amp;RANDBETWEEN(22,23))</f>
        <v>次干路</v>
      </c>
      <c r="C87">
        <f t="shared" ca="1" si="18"/>
        <v>177</v>
      </c>
      <c r="D87">
        <f t="shared" ca="1" si="19"/>
        <v>1.9</v>
      </c>
      <c r="E87">
        <f t="shared" ca="1" si="16"/>
        <v>6.35</v>
      </c>
      <c r="F87" cm="1">
        <f t="array" aca="1" ref="F87" ca="1">INDIRECT("q"&amp;RANDBETWEEN(20,38))</f>
        <v>70</v>
      </c>
      <c r="G87">
        <f t="shared" ca="1" si="17"/>
        <v>53</v>
      </c>
      <c r="H87" t="str" cm="1">
        <f t="array" aca="1" ref="H87" ca="1">IF(OR(B87="主干路",B87="次干路"),_xlfn.IFS(F87=40,_xlfn.IFS(G87&gt;=25,"畅通",AND(G87&gt;=20,G87&lt;25),"轻度拥堵",AND(G87&gt;=15,G87&lt;20),"中度拥堵",AND(G87&gt;=0,G87&lt;15),"严重拥堵"),F87&lt;40,_xlfn.IFS(G87&gt;=25,"畅通",AND(G87&gt;=20,G87&lt;25),"轻度拥堵",AND(G87&gt;=10,G87&lt;20),"中度拥堵",AND(G87&gt;=0,G87&lt;10),"严重拥堵"),F87=50,_xlfn.IFS(G87&gt;=30,"畅通",AND(G87&gt;=25,G87&lt;30),"轻度拥堵",AND(G87&gt;=15,G87&lt;25),"中度拥堵",AND(G87&gt;=0,G87&lt;15),"严重拥堵"),F87=60,_xlfn.IFS(G87&gt;=35,"畅通",AND(G87&gt;=30,G87&lt;35),"轻度拥堵",AND(G87&gt;=20,G87&lt;30),"中度拥堵",AND(G87&gt;=0,G87&lt;20),"严重拥堵"),F87=70,_xlfn.IFS(G87&gt;=40,"畅通",AND(G87&gt;=30,G87&lt;40),"轻度拥堵",AND(G87&gt;=20,G87&lt;30),"中度拥堵",AND(G87&gt;=0,G87&lt;20),"严重拥堵"),F87=80,_xlfn.IFS(G87&gt;=45,"畅通",AND(G87&gt;=30,G87&lt;45),"轻度拥堵",AND(G87&gt;=20,G87&lt;30),"中度拥堵",AND(G87&gt;=0,G87&lt;20),"严重拥堵")),_xlfn.IFS(F87&lt;60,_xlfn.IFS(G87&gt;=40,"畅通",AND(G87&gt;=30,G87&lt;40),"轻度拥堵",AND(G87&gt;=20,G87&lt;30),"中度拥堵",AND(G87&gt;=0,G87&lt;20),"严重拥堵"),F87=60,_xlfn.IFS(G87&gt;=40,"畅通",AND(G87&gt;=30,G87&lt;40),"轻度拥堵",AND(G87&gt;=20,G87&lt;30),"中度拥堵",AND(G87&gt;=0,G87&lt;20),"严重拥堵"),F87=70,_xlfn.IFS(G87&gt;=45,"畅通",AND(G87&gt;=20,G87&lt;25),"轻度拥堵",AND(G87&gt;=10,G87&lt;20),"中度拥堵",AND(G87&gt;=0,G87&lt;10),"严重拥堵"),F87=80,_xlfn.IFS(G87&gt;=50,"畅通",AND(G87&gt;=35,G87&lt;50),"轻度拥堵",AND(G87&gt;=20,G87&lt;35),"中度拥堵",AND(G87&gt;=0,G87&lt;20),"严重拥堵"),F87=90,_xlfn.IFS(G87&gt;=55,"畅通",AND(G87&gt;=35,G87&lt;55),"轻度拥堵",AND(G87&gt;=20,G87&lt;35),"中度拥堵",AND(G87&gt;=0,G87&lt;20),"严重拥堵"),F87=100,_xlfn.IFS(G87&gt;=60,"畅通",AND(G87&gt;=40,G87&lt;60),"轻度拥堵",AND(G87&gt;=20,G87&lt;40),"中度拥堵",AND(G87&gt;=0,G87&lt;20),"严重拥堵"),F87=110,_xlfn.IFS(G87&gt;=65,"畅通",AND(G87&gt;=45,G87&lt;65),"轻度拥堵",AND(G87&gt;=25,G87&lt;45),"中度拥堵",AND(G87&gt;=0,G87&lt;25),"严重拥堵"),F87=120,_xlfn.IFS(G87&gt;=70,"畅通",AND(G87&gt;=50,G87&lt;70),"轻度拥堵",AND(G87&gt;=30,G87&lt;50),"中度拥堵",AND(G87&gt;=0,G87&lt;30),"严重拥堵")))</f>
        <v>畅通</v>
      </c>
    </row>
    <row r="88" spans="1:8" x14ac:dyDescent="0.2">
      <c r="A88">
        <v>87</v>
      </c>
      <c r="B88" t="str" cm="1">
        <f t="array" aca="1" ref="B88" ca="1">INDIRECT("s"&amp;RANDBETWEEN(22,23))</f>
        <v>次干路</v>
      </c>
      <c r="C88">
        <f t="shared" ca="1" si="18"/>
        <v>89</v>
      </c>
      <c r="D88">
        <f t="shared" ca="1" si="19"/>
        <v>1.4</v>
      </c>
      <c r="E88">
        <f t="shared" ca="1" si="16"/>
        <v>4.79</v>
      </c>
      <c r="F88" cm="1">
        <f t="array" aca="1" ref="F88" ca="1">INDIRECT("q"&amp;RANDBETWEEN(20,38))</f>
        <v>60</v>
      </c>
      <c r="G88">
        <f t="shared" ca="1" si="17"/>
        <v>26</v>
      </c>
      <c r="H88" t="str" cm="1">
        <f t="array" aca="1" ref="H88" ca="1">IF(OR(B88="主干路",B88="次干路"),_xlfn.IFS(F88=40,_xlfn.IFS(G88&gt;=25,"畅通",AND(G88&gt;=20,G88&lt;25),"轻度拥堵",AND(G88&gt;=15,G88&lt;20),"中度拥堵",AND(G88&gt;=0,G88&lt;15),"严重拥堵"),F88&lt;40,_xlfn.IFS(G88&gt;=25,"畅通",AND(G88&gt;=20,G88&lt;25),"轻度拥堵",AND(G88&gt;=10,G88&lt;20),"中度拥堵",AND(G88&gt;=0,G88&lt;10),"严重拥堵"),F88=50,_xlfn.IFS(G88&gt;=30,"畅通",AND(G88&gt;=25,G88&lt;30),"轻度拥堵",AND(G88&gt;=15,G88&lt;25),"中度拥堵",AND(G88&gt;=0,G88&lt;15),"严重拥堵"),F88=60,_xlfn.IFS(G88&gt;=35,"畅通",AND(G88&gt;=30,G88&lt;35),"轻度拥堵",AND(G88&gt;=20,G88&lt;30),"中度拥堵",AND(G88&gt;=0,G88&lt;20),"严重拥堵"),F88=70,_xlfn.IFS(G88&gt;=40,"畅通",AND(G88&gt;=30,G88&lt;40),"轻度拥堵",AND(G88&gt;=20,G88&lt;30),"中度拥堵",AND(G88&gt;=0,G88&lt;20),"严重拥堵"),F88=80,_xlfn.IFS(G88&gt;=45,"畅通",AND(G88&gt;=30,G88&lt;45),"轻度拥堵",AND(G88&gt;=20,G88&lt;30),"中度拥堵",AND(G88&gt;=0,G88&lt;20),"严重拥堵")),_xlfn.IFS(F88&lt;60,_xlfn.IFS(G88&gt;=40,"畅通",AND(G88&gt;=30,G88&lt;40),"轻度拥堵",AND(G88&gt;=20,G88&lt;30),"中度拥堵",AND(G88&gt;=0,G88&lt;20),"严重拥堵"),F88=60,_xlfn.IFS(G88&gt;=40,"畅通",AND(G88&gt;=30,G88&lt;40),"轻度拥堵",AND(G88&gt;=20,G88&lt;30),"中度拥堵",AND(G88&gt;=0,G88&lt;20),"严重拥堵"),F88=70,_xlfn.IFS(G88&gt;=45,"畅通",AND(G88&gt;=20,G88&lt;25),"轻度拥堵",AND(G88&gt;=10,G88&lt;20),"中度拥堵",AND(G88&gt;=0,G88&lt;10),"严重拥堵"),F88=80,_xlfn.IFS(G88&gt;=50,"畅通",AND(G88&gt;=35,G88&lt;50),"轻度拥堵",AND(G88&gt;=20,G88&lt;35),"中度拥堵",AND(G88&gt;=0,G88&lt;20),"严重拥堵"),F88=90,_xlfn.IFS(G88&gt;=55,"畅通",AND(G88&gt;=35,G88&lt;55),"轻度拥堵",AND(G88&gt;=20,G88&lt;35),"中度拥堵",AND(G88&gt;=0,G88&lt;20),"严重拥堵"),F88=100,_xlfn.IFS(G88&gt;=60,"畅通",AND(G88&gt;=40,G88&lt;60),"轻度拥堵",AND(G88&gt;=20,G88&lt;40),"中度拥堵",AND(G88&gt;=0,G88&lt;20),"严重拥堵"),F88=110,_xlfn.IFS(G88&gt;=65,"畅通",AND(G88&gt;=45,G88&lt;65),"轻度拥堵",AND(G88&gt;=25,G88&lt;45),"中度拥堵",AND(G88&gt;=0,G88&lt;25),"严重拥堵"),F88=120,_xlfn.IFS(G88&gt;=70,"畅通",AND(G88&gt;=50,G88&lt;70),"轻度拥堵",AND(G88&gt;=30,G88&lt;50),"中度拥堵",AND(G88&gt;=0,G88&lt;30),"严重拥堵")))</f>
        <v>中度拥堵</v>
      </c>
    </row>
    <row r="89" spans="1:8" x14ac:dyDescent="0.2">
      <c r="A89">
        <v>88</v>
      </c>
      <c r="B89" t="str" cm="1">
        <f t="array" aca="1" ref="B89" ca="1">INDIRECT("s"&amp;RANDBETWEEN(22,23))</f>
        <v>主干路</v>
      </c>
      <c r="C89">
        <f t="shared" ca="1" si="18"/>
        <v>128</v>
      </c>
      <c r="D89">
        <f t="shared" ca="1" si="19"/>
        <v>2.6</v>
      </c>
      <c r="E89">
        <f t="shared" ca="1" si="16"/>
        <v>13.31</v>
      </c>
      <c r="F89" cm="1">
        <f t="array" aca="1" ref="F89" ca="1">INDIRECT("q"&amp;RANDBETWEEN(20,38))</f>
        <v>60</v>
      </c>
      <c r="G89">
        <f t="shared" ca="1" si="17"/>
        <v>25</v>
      </c>
      <c r="H89" t="str" cm="1">
        <f t="array" aca="1" ref="H89" ca="1">IF(OR(B89="主干路",B89="次干路"),_xlfn.IFS(F89=40,_xlfn.IFS(G89&gt;=25,"畅通",AND(G89&gt;=20,G89&lt;25),"轻度拥堵",AND(G89&gt;=15,G89&lt;20),"中度拥堵",AND(G89&gt;=0,G89&lt;15),"严重拥堵"),F89&lt;40,_xlfn.IFS(G89&gt;=25,"畅通",AND(G89&gt;=20,G89&lt;25),"轻度拥堵",AND(G89&gt;=10,G89&lt;20),"中度拥堵",AND(G89&gt;=0,G89&lt;10),"严重拥堵"),F89=50,_xlfn.IFS(G89&gt;=30,"畅通",AND(G89&gt;=25,G89&lt;30),"轻度拥堵",AND(G89&gt;=15,G89&lt;25),"中度拥堵",AND(G89&gt;=0,G89&lt;15),"严重拥堵"),F89=60,_xlfn.IFS(G89&gt;=35,"畅通",AND(G89&gt;=30,G89&lt;35),"轻度拥堵",AND(G89&gt;=20,G89&lt;30),"中度拥堵",AND(G89&gt;=0,G89&lt;20),"严重拥堵"),F89=70,_xlfn.IFS(G89&gt;=40,"畅通",AND(G89&gt;=30,G89&lt;40),"轻度拥堵",AND(G89&gt;=20,G89&lt;30),"中度拥堵",AND(G89&gt;=0,G89&lt;20),"严重拥堵"),F89=80,_xlfn.IFS(G89&gt;=45,"畅通",AND(G89&gt;=30,G89&lt;45),"轻度拥堵",AND(G89&gt;=20,G89&lt;30),"中度拥堵",AND(G89&gt;=0,G89&lt;20),"严重拥堵")),_xlfn.IFS(F89&lt;60,_xlfn.IFS(G89&gt;=40,"畅通",AND(G89&gt;=30,G89&lt;40),"轻度拥堵",AND(G89&gt;=20,G89&lt;30),"中度拥堵",AND(G89&gt;=0,G89&lt;20),"严重拥堵"),F89=60,_xlfn.IFS(G89&gt;=40,"畅通",AND(G89&gt;=30,G89&lt;40),"轻度拥堵",AND(G89&gt;=20,G89&lt;30),"中度拥堵",AND(G89&gt;=0,G89&lt;20),"严重拥堵"),F89=70,_xlfn.IFS(G89&gt;=45,"畅通",AND(G89&gt;=20,G89&lt;25),"轻度拥堵",AND(G89&gt;=10,G89&lt;20),"中度拥堵",AND(G89&gt;=0,G89&lt;10),"严重拥堵"),F89=80,_xlfn.IFS(G89&gt;=50,"畅通",AND(G89&gt;=35,G89&lt;50),"轻度拥堵",AND(G89&gt;=20,G89&lt;35),"中度拥堵",AND(G89&gt;=0,G89&lt;20),"严重拥堵"),F89=90,_xlfn.IFS(G89&gt;=55,"畅通",AND(G89&gt;=35,G89&lt;55),"轻度拥堵",AND(G89&gt;=20,G89&lt;35),"中度拥堵",AND(G89&gt;=0,G89&lt;20),"严重拥堵"),F89=100,_xlfn.IFS(G89&gt;=60,"畅通",AND(G89&gt;=40,G89&lt;60),"轻度拥堵",AND(G89&gt;=20,G89&lt;40),"中度拥堵",AND(G89&gt;=0,G89&lt;20),"严重拥堵"),F89=110,_xlfn.IFS(G89&gt;=65,"畅通",AND(G89&gt;=45,G89&lt;65),"轻度拥堵",AND(G89&gt;=25,G89&lt;45),"中度拥堵",AND(G89&gt;=0,G89&lt;25),"严重拥堵"),F89=120,_xlfn.IFS(G89&gt;=70,"畅通",AND(G89&gt;=50,G89&lt;70),"轻度拥堵",AND(G89&gt;=30,G89&lt;50),"中度拥堵",AND(G89&gt;=0,G89&lt;30),"严重拥堵")))</f>
        <v>中度拥堵</v>
      </c>
    </row>
    <row r="90" spans="1:8" x14ac:dyDescent="0.2">
      <c r="A90">
        <v>89</v>
      </c>
      <c r="B90" t="str" cm="1">
        <f t="array" aca="1" ref="B90" ca="1">INDIRECT("r"&amp;RANDBETWEEN(22,23))</f>
        <v>公路</v>
      </c>
      <c r="C90">
        <f t="shared" ref="C90:C105" ca="1" si="20">RANDBETWEEN(145,482)</f>
        <v>213</v>
      </c>
      <c r="D90">
        <f t="shared" ref="D90:D105" ca="1" si="21">RANDBETWEEN(20,50)/10</f>
        <v>4.3</v>
      </c>
      <c r="E90">
        <f t="shared" ca="1" si="16"/>
        <v>101.77</v>
      </c>
      <c r="F90" cm="1">
        <f t="array" aca="1" ref="F90" ca="1">INDIRECT("p"&amp;RANDBETWEEN(20,39))</f>
        <v>60</v>
      </c>
      <c r="G90">
        <f t="shared" ca="1" si="17"/>
        <v>9</v>
      </c>
      <c r="H90" t="str" cm="1">
        <f t="array" aca="1" ref="H90" ca="1">IF(OR(B90="主干路",B90="次干路"),_xlfn.IFS(F90=40,_xlfn.IFS(G90&gt;=25,"畅通",AND(G90&gt;=20,G90&lt;25),"轻度拥堵",AND(G90&gt;=15,G90&lt;20),"中度拥堵",AND(G90&gt;=0,G90&lt;15),"严重拥堵"),F90&lt;40,_xlfn.IFS(G90&gt;=25,"畅通",AND(G90&gt;=20,G90&lt;25),"轻度拥堵",AND(G90&gt;=10,G90&lt;20),"中度拥堵",AND(G90&gt;=0,G90&lt;10),"严重拥堵"),F90=50,_xlfn.IFS(G90&gt;=30,"畅通",AND(G90&gt;=25,G90&lt;30),"轻度拥堵",AND(G90&gt;=15,G90&lt;25),"中度拥堵",AND(G90&gt;=0,G90&lt;15),"严重拥堵"),F90=60,_xlfn.IFS(G90&gt;=35,"畅通",AND(G90&gt;=30,G90&lt;35),"轻度拥堵",AND(G90&gt;=20,G90&lt;30),"中度拥堵",AND(G90&gt;=0,G90&lt;20),"严重拥堵"),F90=70,_xlfn.IFS(G90&gt;=40,"畅通",AND(G90&gt;=30,G90&lt;40),"轻度拥堵",AND(G90&gt;=20,G90&lt;30),"中度拥堵",AND(G90&gt;=0,G90&lt;20),"严重拥堵"),F90=80,_xlfn.IFS(G90&gt;=45,"畅通",AND(G90&gt;=30,G90&lt;45),"轻度拥堵",AND(G90&gt;=20,G90&lt;30),"中度拥堵",AND(G90&gt;=0,G90&lt;20),"严重拥堵")),_xlfn.IFS(F90&lt;60,_xlfn.IFS(G90&gt;=40,"畅通",AND(G90&gt;=30,G90&lt;40),"轻度拥堵",AND(G90&gt;=20,G90&lt;30),"中度拥堵",AND(G90&gt;=0,G90&lt;20),"严重拥堵"),F90=60,_xlfn.IFS(G90&gt;=40,"畅通",AND(G90&gt;=30,G90&lt;40),"轻度拥堵",AND(G90&gt;=20,G90&lt;30),"中度拥堵",AND(G90&gt;=0,G90&lt;20),"严重拥堵"),F90=70,_xlfn.IFS(G90&gt;=45,"畅通",AND(G90&gt;=30,G90&lt;45),"轻度拥堵",AND(G90&gt;=20,G90&lt;30),"中度拥堵",AND(G90&gt;=0,G90&lt;20),"严重拥堵"),F90=80,_xlfn.IFS(G90&gt;=50,"畅通",AND(G90&gt;=35,G90&lt;50),"轻度拥堵",AND(G90&gt;=20,G90&lt;35),"中度拥堵",AND(G90&gt;=0,G90&lt;20),"严重拥堵"),F90=90,_xlfn.IFS(G90&gt;=55,"畅通",AND(G90&gt;=35,G90&lt;55),"轻度拥堵",AND(G90&gt;=20,G90&lt;35),"中度拥堵",AND(G90&gt;=0,G90&lt;20),"严重拥堵"),F90=100,_xlfn.IFS(G90&gt;=60,"畅通",AND(G90&gt;=40,G90&lt;60),"轻度拥堵",AND(G90&gt;=20,G90&lt;40),"中度拥堵",AND(G90&gt;=0,G90&lt;20),"严重拥堵"),F90=110,_xlfn.IFS(G90&gt;=65,"畅通",AND(G90&gt;=45,G90&lt;65),"轻度拥堵",AND(G90&gt;=25,G90&lt;45),"中度拥堵",AND(G90&gt;=0,G90&lt;25),"严重拥堵"),F90=120,_xlfn.IFS(G90&gt;=70,"畅通",AND(G90&gt;=50,G90&lt;70),"轻度拥堵",AND(G90&gt;=30,G90&lt;50),"中度拥堵",AND(G90&gt;=0,G90&lt;30),"严重拥堵")))</f>
        <v>严重拥堵</v>
      </c>
    </row>
    <row r="91" spans="1:8" x14ac:dyDescent="0.2">
      <c r="A91">
        <v>90</v>
      </c>
      <c r="B91" t="str" cm="1">
        <f t="array" aca="1" ref="B91" ca="1">INDIRECT("r"&amp;RANDBETWEEN(22,23))</f>
        <v>城市快速路</v>
      </c>
      <c r="C91">
        <f t="shared" ca="1" si="20"/>
        <v>212</v>
      </c>
      <c r="D91">
        <f t="shared" ca="1" si="21"/>
        <v>3.8</v>
      </c>
      <c r="E91">
        <f t="shared" ca="1" si="16"/>
        <v>40.28</v>
      </c>
      <c r="F91" cm="1">
        <f t="array" aca="1" ref="F91" ca="1">INDIRECT("p"&amp;RANDBETWEEN(20,39))</f>
        <v>80</v>
      </c>
      <c r="G91">
        <f t="shared" ca="1" si="17"/>
        <v>20</v>
      </c>
      <c r="H91" t="str" cm="1">
        <f t="array" aca="1" ref="H91" ca="1">IF(OR(B91="主干路",B91="次干路"),_xlfn.IFS(F91=40,_xlfn.IFS(G91&gt;=25,"畅通",AND(G91&gt;=20,G91&lt;25),"轻度拥堵",AND(G91&gt;=15,G91&lt;20),"中度拥堵",AND(G91&gt;=0,G91&lt;15),"严重拥堵"),F91&lt;40,_xlfn.IFS(G91&gt;=25,"畅通",AND(G91&gt;=20,G91&lt;25),"轻度拥堵",AND(G91&gt;=10,G91&lt;20),"中度拥堵",AND(G91&gt;=0,G91&lt;10),"严重拥堵"),F91=50,_xlfn.IFS(G91&gt;=30,"畅通",AND(G91&gt;=25,G91&lt;30),"轻度拥堵",AND(G91&gt;=15,G91&lt;25),"中度拥堵",AND(G91&gt;=0,G91&lt;15),"严重拥堵"),F91=60,_xlfn.IFS(G91&gt;=35,"畅通",AND(G91&gt;=30,G91&lt;35),"轻度拥堵",AND(G91&gt;=20,G91&lt;30),"中度拥堵",AND(G91&gt;=0,G91&lt;20),"严重拥堵"),F91=70,_xlfn.IFS(G91&gt;=40,"畅通",AND(G91&gt;=30,G91&lt;40),"轻度拥堵",AND(G91&gt;=20,G91&lt;30),"中度拥堵",AND(G91&gt;=0,G91&lt;20),"严重拥堵"),F91=80,_xlfn.IFS(G91&gt;=45,"畅通",AND(G91&gt;=30,G91&lt;45),"轻度拥堵",AND(G91&gt;=20,G91&lt;30),"中度拥堵",AND(G91&gt;=0,G91&lt;20),"严重拥堵")),_xlfn.IFS(F91&lt;60,_xlfn.IFS(G91&gt;=40,"畅通",AND(G91&gt;=30,G91&lt;40),"轻度拥堵",AND(G91&gt;=20,G91&lt;30),"中度拥堵",AND(G91&gt;=0,G91&lt;20),"严重拥堵"),F91=60,_xlfn.IFS(G91&gt;=40,"畅通",AND(G91&gt;=30,G91&lt;40),"轻度拥堵",AND(G91&gt;=20,G91&lt;30),"中度拥堵",AND(G91&gt;=0,G91&lt;20),"严重拥堵"),F91=70,_xlfn.IFS(G91&gt;=45,"畅通",AND(G91&gt;=30,G91&lt;45),"轻度拥堵",AND(G91&gt;=20,G91&lt;30),"中度拥堵",AND(G91&gt;=0,G91&lt;20),"严重拥堵"),F91=80,_xlfn.IFS(G91&gt;=50,"畅通",AND(G91&gt;=35,G91&lt;50),"轻度拥堵",AND(G91&gt;=20,G91&lt;35),"中度拥堵",AND(G91&gt;=0,G91&lt;20),"严重拥堵"),F91=90,_xlfn.IFS(G91&gt;=55,"畅通",AND(G91&gt;=35,G91&lt;55),"轻度拥堵",AND(G91&gt;=20,G91&lt;35),"中度拥堵",AND(G91&gt;=0,G91&lt;20),"严重拥堵"),F91=100,_xlfn.IFS(G91&gt;=60,"畅通",AND(G91&gt;=40,G91&lt;60),"轻度拥堵",AND(G91&gt;=20,G91&lt;40),"中度拥堵",AND(G91&gt;=0,G91&lt;20),"严重拥堵"),F91=110,_xlfn.IFS(G91&gt;=65,"畅通",AND(G91&gt;=45,G91&lt;65),"轻度拥堵",AND(G91&gt;=25,G91&lt;45),"中度拥堵",AND(G91&gt;=0,G91&lt;25),"严重拥堵"),F91=120,_xlfn.IFS(G91&gt;=70,"畅通",AND(G91&gt;=50,G91&lt;70),"轻度拥堵",AND(G91&gt;=30,G91&lt;50),"中度拥堵",AND(G91&gt;=0,G91&lt;30),"严重拥堵")))</f>
        <v>中度拥堵</v>
      </c>
    </row>
    <row r="92" spans="1:8" x14ac:dyDescent="0.2">
      <c r="A92">
        <v>91</v>
      </c>
      <c r="B92" t="str" cm="1">
        <f t="array" aca="1" ref="B92" ca="1">INDIRECT("r"&amp;RANDBETWEEN(22,23))</f>
        <v>城市快速路</v>
      </c>
      <c r="C92">
        <f t="shared" ca="1" si="20"/>
        <v>279</v>
      </c>
      <c r="D92">
        <f t="shared" ca="1" si="21"/>
        <v>3.6</v>
      </c>
      <c r="E92">
        <f t="shared" ca="1" si="16"/>
        <v>20.09</v>
      </c>
      <c r="F92" cm="1">
        <f t="array" aca="1" ref="F92" ca="1">INDIRECT("p"&amp;RANDBETWEEN(20,39))</f>
        <v>60</v>
      </c>
      <c r="G92">
        <f t="shared" ca="1" si="17"/>
        <v>50</v>
      </c>
      <c r="H92" t="str" cm="1">
        <f t="array" aca="1" ref="H92" ca="1">IF(OR(B92="主干路",B92="次干路"),_xlfn.IFS(F92=40,_xlfn.IFS(G92&gt;=25,"畅通",AND(G92&gt;=20,G92&lt;25),"轻度拥堵",AND(G92&gt;=15,G92&lt;20),"中度拥堵",AND(G92&gt;=0,G92&lt;15),"严重拥堵"),F92&lt;40,_xlfn.IFS(G92&gt;=25,"畅通",AND(G92&gt;=20,G92&lt;25),"轻度拥堵",AND(G92&gt;=10,G92&lt;20),"中度拥堵",AND(G92&gt;=0,G92&lt;10),"严重拥堵"),F92=50,_xlfn.IFS(G92&gt;=30,"畅通",AND(G92&gt;=25,G92&lt;30),"轻度拥堵",AND(G92&gt;=15,G92&lt;25),"中度拥堵",AND(G92&gt;=0,G92&lt;15),"严重拥堵"),F92=60,_xlfn.IFS(G92&gt;=35,"畅通",AND(G92&gt;=30,G92&lt;35),"轻度拥堵",AND(G92&gt;=20,G92&lt;30),"中度拥堵",AND(G92&gt;=0,G92&lt;20),"严重拥堵"),F92=70,_xlfn.IFS(G92&gt;=40,"畅通",AND(G92&gt;=30,G92&lt;40),"轻度拥堵",AND(G92&gt;=20,G92&lt;30),"中度拥堵",AND(G92&gt;=0,G92&lt;20),"严重拥堵"),F92=80,_xlfn.IFS(G92&gt;=45,"畅通",AND(G92&gt;=30,G92&lt;45),"轻度拥堵",AND(G92&gt;=20,G92&lt;30),"中度拥堵",AND(G92&gt;=0,G92&lt;20),"严重拥堵")),_xlfn.IFS(F92&lt;60,_xlfn.IFS(G92&gt;=40,"畅通",AND(G92&gt;=30,G92&lt;40),"轻度拥堵",AND(G92&gt;=20,G92&lt;30),"中度拥堵",AND(G92&gt;=0,G92&lt;20),"严重拥堵"),F92=60,_xlfn.IFS(G92&gt;=40,"畅通",AND(G92&gt;=30,G92&lt;40),"轻度拥堵",AND(G92&gt;=20,G92&lt;30),"中度拥堵",AND(G92&gt;=0,G92&lt;20),"严重拥堵"),F92=70,_xlfn.IFS(G92&gt;=45,"畅通",AND(G92&gt;=30,G92&lt;45),"轻度拥堵",AND(G92&gt;=20,G92&lt;30),"中度拥堵",AND(G92&gt;=0,G92&lt;20),"严重拥堵"),F92=80,_xlfn.IFS(G92&gt;=50,"畅通",AND(G92&gt;=35,G92&lt;50),"轻度拥堵",AND(G92&gt;=20,G92&lt;35),"中度拥堵",AND(G92&gt;=0,G92&lt;20),"严重拥堵"),F92=90,_xlfn.IFS(G92&gt;=55,"畅通",AND(G92&gt;=35,G92&lt;55),"轻度拥堵",AND(G92&gt;=20,G92&lt;35),"中度拥堵",AND(G92&gt;=0,G92&lt;20),"严重拥堵"),F92=100,_xlfn.IFS(G92&gt;=60,"畅通",AND(G92&gt;=40,G92&lt;60),"轻度拥堵",AND(G92&gt;=20,G92&lt;40),"中度拥堵",AND(G92&gt;=0,G92&lt;20),"严重拥堵"),F92=110,_xlfn.IFS(G92&gt;=65,"畅通",AND(G92&gt;=45,G92&lt;65),"轻度拥堵",AND(G92&gt;=25,G92&lt;45),"中度拥堵",AND(G92&gt;=0,G92&lt;25),"严重拥堵"),F92=120,_xlfn.IFS(G92&gt;=70,"畅通",AND(G92&gt;=50,G92&lt;70),"轻度拥堵",AND(G92&gt;=30,G92&lt;50),"中度拥堵",AND(G92&gt;=0,G92&lt;30),"严重拥堵")))</f>
        <v>畅通</v>
      </c>
    </row>
    <row r="93" spans="1:8" x14ac:dyDescent="0.2">
      <c r="A93">
        <v>92</v>
      </c>
      <c r="B93" t="str" cm="1">
        <f t="array" aca="1" ref="B93" ca="1">INDIRECT("r"&amp;RANDBETWEEN(22,23))</f>
        <v>城市快速路</v>
      </c>
      <c r="C93">
        <f t="shared" ca="1" si="20"/>
        <v>312</v>
      </c>
      <c r="D93">
        <f t="shared" ca="1" si="21"/>
        <v>2.2999999999999998</v>
      </c>
      <c r="E93">
        <f t="shared" ca="1" si="16"/>
        <v>10.4</v>
      </c>
      <c r="F93" cm="1">
        <f t="array" aca="1" ref="F93" ca="1">INDIRECT("p"&amp;RANDBETWEEN(20,39))</f>
        <v>80</v>
      </c>
      <c r="G93">
        <f t="shared" ca="1" si="17"/>
        <v>69</v>
      </c>
      <c r="H93" t="str" cm="1">
        <f t="array" aca="1" ref="H93" ca="1">IF(OR(B93="主干路",B93="次干路"),_xlfn.IFS(F93=40,_xlfn.IFS(G93&gt;=25,"畅通",AND(G93&gt;=20,G93&lt;25),"轻度拥堵",AND(G93&gt;=15,G93&lt;20),"中度拥堵",AND(G93&gt;=0,G93&lt;15),"严重拥堵"),F93&lt;40,_xlfn.IFS(G93&gt;=25,"畅通",AND(G93&gt;=20,G93&lt;25),"轻度拥堵",AND(G93&gt;=10,G93&lt;20),"中度拥堵",AND(G93&gt;=0,G93&lt;10),"严重拥堵"),F93=50,_xlfn.IFS(G93&gt;=30,"畅通",AND(G93&gt;=25,G93&lt;30),"轻度拥堵",AND(G93&gt;=15,G93&lt;25),"中度拥堵",AND(G93&gt;=0,G93&lt;15),"严重拥堵"),F93=60,_xlfn.IFS(G93&gt;=35,"畅通",AND(G93&gt;=30,G93&lt;35),"轻度拥堵",AND(G93&gt;=20,G93&lt;30),"中度拥堵",AND(G93&gt;=0,G93&lt;20),"严重拥堵"),F93=70,_xlfn.IFS(G93&gt;=40,"畅通",AND(G93&gt;=30,G93&lt;40),"轻度拥堵",AND(G93&gt;=20,G93&lt;30),"中度拥堵",AND(G93&gt;=0,G93&lt;20),"严重拥堵"),F93=80,_xlfn.IFS(G93&gt;=45,"畅通",AND(G93&gt;=30,G93&lt;45),"轻度拥堵",AND(G93&gt;=20,G93&lt;30),"中度拥堵",AND(G93&gt;=0,G93&lt;20),"严重拥堵")),_xlfn.IFS(F93&lt;60,_xlfn.IFS(G93&gt;=40,"畅通",AND(G93&gt;=30,G93&lt;40),"轻度拥堵",AND(G93&gt;=20,G93&lt;30),"中度拥堵",AND(G93&gt;=0,G93&lt;20),"严重拥堵"),F93=60,_xlfn.IFS(G93&gt;=40,"畅通",AND(G93&gt;=30,G93&lt;40),"轻度拥堵",AND(G93&gt;=20,G93&lt;30),"中度拥堵",AND(G93&gt;=0,G93&lt;20),"严重拥堵"),F93=70,_xlfn.IFS(G93&gt;=45,"畅通",AND(G93&gt;=30,G93&lt;45),"轻度拥堵",AND(G93&gt;=20,G93&lt;30),"中度拥堵",AND(G93&gt;=0,G93&lt;20),"严重拥堵"),F93=80,_xlfn.IFS(G93&gt;=50,"畅通",AND(G93&gt;=35,G93&lt;50),"轻度拥堵",AND(G93&gt;=20,G93&lt;35),"中度拥堵",AND(G93&gt;=0,G93&lt;20),"严重拥堵"),F93=90,_xlfn.IFS(G93&gt;=55,"畅通",AND(G93&gt;=35,G93&lt;55),"轻度拥堵",AND(G93&gt;=20,G93&lt;35),"中度拥堵",AND(G93&gt;=0,G93&lt;20),"严重拥堵"),F93=100,_xlfn.IFS(G93&gt;=60,"畅通",AND(G93&gt;=40,G93&lt;60),"轻度拥堵",AND(G93&gt;=20,G93&lt;40),"中度拥堵",AND(G93&gt;=0,G93&lt;20),"严重拥堵"),F93=110,_xlfn.IFS(G93&gt;=65,"畅通",AND(G93&gt;=45,G93&lt;65),"轻度拥堵",AND(G93&gt;=25,G93&lt;45),"中度拥堵",AND(G93&gt;=0,G93&lt;25),"严重拥堵"),F93=120,_xlfn.IFS(G93&gt;=70,"畅通",AND(G93&gt;=50,G93&lt;70),"轻度拥堵",AND(G93&gt;=30,G93&lt;50),"中度拥堵",AND(G93&gt;=0,G93&lt;30),"严重拥堵")))</f>
        <v>畅通</v>
      </c>
    </row>
    <row r="94" spans="1:8" x14ac:dyDescent="0.2">
      <c r="A94">
        <v>93</v>
      </c>
      <c r="B94" t="str" cm="1">
        <f t="array" aca="1" ref="B94" ca="1">INDIRECT("r"&amp;RANDBETWEEN(22,23))</f>
        <v>城市快速路</v>
      </c>
      <c r="C94">
        <f t="shared" ca="1" si="20"/>
        <v>224</v>
      </c>
      <c r="D94">
        <f t="shared" ca="1" si="21"/>
        <v>2.2999999999999998</v>
      </c>
      <c r="E94">
        <f t="shared" ca="1" si="16"/>
        <v>171.73</v>
      </c>
      <c r="F94" cm="1">
        <f t="array" aca="1" ref="F94" ca="1">INDIRECT("p"&amp;RANDBETWEEN(20,39))</f>
        <v>60</v>
      </c>
      <c r="G94">
        <f t="shared" ca="1" si="17"/>
        <v>3</v>
      </c>
      <c r="H94" t="str" cm="1">
        <f t="array" aca="1" ref="H94" ca="1">IF(OR(B94="主干路",B94="次干路"),_xlfn.IFS(F94=40,_xlfn.IFS(G94&gt;=25,"畅通",AND(G94&gt;=20,G94&lt;25),"轻度拥堵",AND(G94&gt;=15,G94&lt;20),"中度拥堵",AND(G94&gt;=0,G94&lt;15),"严重拥堵"),F94&lt;40,_xlfn.IFS(G94&gt;=25,"畅通",AND(G94&gt;=20,G94&lt;25),"轻度拥堵",AND(G94&gt;=10,G94&lt;20),"中度拥堵",AND(G94&gt;=0,G94&lt;10),"严重拥堵"),F94=50,_xlfn.IFS(G94&gt;=30,"畅通",AND(G94&gt;=25,G94&lt;30),"轻度拥堵",AND(G94&gt;=15,G94&lt;25),"中度拥堵",AND(G94&gt;=0,G94&lt;15),"严重拥堵"),F94=60,_xlfn.IFS(G94&gt;=35,"畅通",AND(G94&gt;=30,G94&lt;35),"轻度拥堵",AND(G94&gt;=20,G94&lt;30),"中度拥堵",AND(G94&gt;=0,G94&lt;20),"严重拥堵"),F94=70,_xlfn.IFS(G94&gt;=40,"畅通",AND(G94&gt;=30,G94&lt;40),"轻度拥堵",AND(G94&gt;=20,G94&lt;30),"中度拥堵",AND(G94&gt;=0,G94&lt;20),"严重拥堵"),F94=80,_xlfn.IFS(G94&gt;=45,"畅通",AND(G94&gt;=30,G94&lt;45),"轻度拥堵",AND(G94&gt;=20,G94&lt;30),"中度拥堵",AND(G94&gt;=0,G94&lt;20),"严重拥堵")),_xlfn.IFS(F94&lt;60,_xlfn.IFS(G94&gt;=40,"畅通",AND(G94&gt;=30,G94&lt;40),"轻度拥堵",AND(G94&gt;=20,G94&lt;30),"中度拥堵",AND(G94&gt;=0,G94&lt;20),"严重拥堵"),F94=60,_xlfn.IFS(G94&gt;=40,"畅通",AND(G94&gt;=30,G94&lt;40),"轻度拥堵",AND(G94&gt;=20,G94&lt;30),"中度拥堵",AND(G94&gt;=0,G94&lt;20),"严重拥堵"),F94=70,_xlfn.IFS(G94&gt;=45,"畅通",AND(G94&gt;=30,G94&lt;45),"轻度拥堵",AND(G94&gt;=20,G94&lt;30),"中度拥堵",AND(G94&gt;=0,G94&lt;20),"严重拥堵"),F94=80,_xlfn.IFS(G94&gt;=50,"畅通",AND(G94&gt;=35,G94&lt;50),"轻度拥堵",AND(G94&gt;=20,G94&lt;35),"中度拥堵",AND(G94&gt;=0,G94&lt;20),"严重拥堵"),F94=90,_xlfn.IFS(G94&gt;=55,"畅通",AND(G94&gt;=35,G94&lt;55),"轻度拥堵",AND(G94&gt;=20,G94&lt;35),"中度拥堵",AND(G94&gt;=0,G94&lt;20),"严重拥堵"),F94=100,_xlfn.IFS(G94&gt;=60,"畅通",AND(G94&gt;=40,G94&lt;60),"轻度拥堵",AND(G94&gt;=20,G94&lt;40),"中度拥堵",AND(G94&gt;=0,G94&lt;20),"严重拥堵"),F94=110,_xlfn.IFS(G94&gt;=65,"畅通",AND(G94&gt;=45,G94&lt;65),"轻度拥堵",AND(G94&gt;=25,G94&lt;45),"中度拥堵",AND(G94&gt;=0,G94&lt;25),"严重拥堵"),F94=120,_xlfn.IFS(G94&gt;=70,"畅通",AND(G94&gt;=50,G94&lt;70),"轻度拥堵",AND(G94&gt;=30,G94&lt;50),"中度拥堵",AND(G94&gt;=0,G94&lt;30),"严重拥堵")))</f>
        <v>严重拥堵</v>
      </c>
    </row>
    <row r="95" spans="1:8" x14ac:dyDescent="0.2">
      <c r="A95">
        <v>94</v>
      </c>
      <c r="B95" t="str" cm="1">
        <f t="array" aca="1" ref="B95" ca="1">INDIRECT("r"&amp;RANDBETWEEN(22,23))</f>
        <v>城市快速路</v>
      </c>
      <c r="C95">
        <f t="shared" ca="1" si="20"/>
        <v>434</v>
      </c>
      <c r="D95">
        <f t="shared" ca="1" si="21"/>
        <v>4.8</v>
      </c>
      <c r="E95">
        <f t="shared" ca="1" si="16"/>
        <v>208.32</v>
      </c>
      <c r="F95" cm="1">
        <f t="array" aca="1" ref="F95" ca="1">INDIRECT("p"&amp;RANDBETWEEN(20,39))</f>
        <v>80</v>
      </c>
      <c r="G95">
        <f t="shared" ca="1" si="17"/>
        <v>10</v>
      </c>
      <c r="H95" t="str" cm="1">
        <f t="array" aca="1" ref="H95" ca="1">IF(OR(B95="主干路",B95="次干路"),_xlfn.IFS(F95=40,_xlfn.IFS(G95&gt;=25,"畅通",AND(G95&gt;=20,G95&lt;25),"轻度拥堵",AND(G95&gt;=15,G95&lt;20),"中度拥堵",AND(G95&gt;=0,G95&lt;15),"严重拥堵"),F95&lt;40,_xlfn.IFS(G95&gt;=25,"畅通",AND(G95&gt;=20,G95&lt;25),"轻度拥堵",AND(G95&gt;=10,G95&lt;20),"中度拥堵",AND(G95&gt;=0,G95&lt;10),"严重拥堵"),F95=50,_xlfn.IFS(G95&gt;=30,"畅通",AND(G95&gt;=25,G95&lt;30),"轻度拥堵",AND(G95&gt;=15,G95&lt;25),"中度拥堵",AND(G95&gt;=0,G95&lt;15),"严重拥堵"),F95=60,_xlfn.IFS(G95&gt;=35,"畅通",AND(G95&gt;=30,G95&lt;35),"轻度拥堵",AND(G95&gt;=20,G95&lt;30),"中度拥堵",AND(G95&gt;=0,G95&lt;20),"严重拥堵"),F95=70,_xlfn.IFS(G95&gt;=40,"畅通",AND(G95&gt;=30,G95&lt;40),"轻度拥堵",AND(G95&gt;=20,G95&lt;30),"中度拥堵",AND(G95&gt;=0,G95&lt;20),"严重拥堵"),F95=80,_xlfn.IFS(G95&gt;=45,"畅通",AND(G95&gt;=30,G95&lt;45),"轻度拥堵",AND(G95&gt;=20,G95&lt;30),"中度拥堵",AND(G95&gt;=0,G95&lt;20),"严重拥堵")),_xlfn.IFS(F95&lt;60,_xlfn.IFS(G95&gt;=40,"畅通",AND(G95&gt;=30,G95&lt;40),"轻度拥堵",AND(G95&gt;=20,G95&lt;30),"中度拥堵",AND(G95&gt;=0,G95&lt;20),"严重拥堵"),F95=60,_xlfn.IFS(G95&gt;=40,"畅通",AND(G95&gt;=30,G95&lt;40),"轻度拥堵",AND(G95&gt;=20,G95&lt;30),"中度拥堵",AND(G95&gt;=0,G95&lt;20),"严重拥堵"),F95=70,_xlfn.IFS(G95&gt;=45,"畅通",AND(G95&gt;=30,G95&lt;45),"轻度拥堵",AND(G95&gt;=20,G95&lt;30),"中度拥堵",AND(G95&gt;=0,G95&lt;20),"严重拥堵"),F95=80,_xlfn.IFS(G95&gt;=50,"畅通",AND(G95&gt;=35,G95&lt;50),"轻度拥堵",AND(G95&gt;=20,G95&lt;35),"中度拥堵",AND(G95&gt;=0,G95&lt;20),"严重拥堵"),F95=90,_xlfn.IFS(G95&gt;=55,"畅通",AND(G95&gt;=35,G95&lt;55),"轻度拥堵",AND(G95&gt;=20,G95&lt;35),"中度拥堵",AND(G95&gt;=0,G95&lt;20),"严重拥堵"),F95=100,_xlfn.IFS(G95&gt;=60,"畅通",AND(G95&gt;=40,G95&lt;60),"轻度拥堵",AND(G95&gt;=20,G95&lt;40),"中度拥堵",AND(G95&gt;=0,G95&lt;20),"严重拥堵"),F95=110,_xlfn.IFS(G95&gt;=65,"畅通",AND(G95&gt;=45,G95&lt;65),"轻度拥堵",AND(G95&gt;=25,G95&lt;45),"中度拥堵",AND(G95&gt;=0,G95&lt;25),"严重拥堵"),F95=120,_xlfn.IFS(G95&gt;=70,"畅通",AND(G95&gt;=50,G95&lt;70),"轻度拥堵",AND(G95&gt;=30,G95&lt;50),"中度拥堵",AND(G95&gt;=0,G95&lt;30),"严重拥堵")))</f>
        <v>严重拥堵</v>
      </c>
    </row>
    <row r="96" spans="1:8" x14ac:dyDescent="0.2">
      <c r="A96">
        <v>95</v>
      </c>
      <c r="B96" t="str" cm="1">
        <f t="array" aca="1" ref="B96" ca="1">INDIRECT("r"&amp;RANDBETWEEN(22,23))</f>
        <v>城市快速路</v>
      </c>
      <c r="C96">
        <f t="shared" ca="1" si="20"/>
        <v>311</v>
      </c>
      <c r="D96">
        <f t="shared" ca="1" si="21"/>
        <v>3.8</v>
      </c>
      <c r="E96">
        <f t="shared" ca="1" si="16"/>
        <v>59.09</v>
      </c>
      <c r="F96" cm="1">
        <f t="array" aca="1" ref="F96" ca="1">INDIRECT("p"&amp;RANDBETWEEN(20,39))</f>
        <v>60</v>
      </c>
      <c r="G96">
        <f t="shared" ca="1" si="17"/>
        <v>20</v>
      </c>
      <c r="H96" t="str" cm="1">
        <f t="array" aca="1" ref="H96" ca="1">IF(OR(B96="主干路",B96="次干路"),_xlfn.IFS(F96=40,_xlfn.IFS(G96&gt;=25,"畅通",AND(G96&gt;=20,G96&lt;25),"轻度拥堵",AND(G96&gt;=15,G96&lt;20),"中度拥堵",AND(G96&gt;=0,G96&lt;15),"严重拥堵"),F96&lt;40,_xlfn.IFS(G96&gt;=25,"畅通",AND(G96&gt;=20,G96&lt;25),"轻度拥堵",AND(G96&gt;=10,G96&lt;20),"中度拥堵",AND(G96&gt;=0,G96&lt;10),"严重拥堵"),F96=50,_xlfn.IFS(G96&gt;=30,"畅通",AND(G96&gt;=25,G96&lt;30),"轻度拥堵",AND(G96&gt;=15,G96&lt;25),"中度拥堵",AND(G96&gt;=0,G96&lt;15),"严重拥堵"),F96=60,_xlfn.IFS(G96&gt;=35,"畅通",AND(G96&gt;=30,G96&lt;35),"轻度拥堵",AND(G96&gt;=20,G96&lt;30),"中度拥堵",AND(G96&gt;=0,G96&lt;20),"严重拥堵"),F96=70,_xlfn.IFS(G96&gt;=40,"畅通",AND(G96&gt;=30,G96&lt;40),"轻度拥堵",AND(G96&gt;=20,G96&lt;30),"中度拥堵",AND(G96&gt;=0,G96&lt;20),"严重拥堵"),F96=80,_xlfn.IFS(G96&gt;=45,"畅通",AND(G96&gt;=30,G96&lt;45),"轻度拥堵",AND(G96&gt;=20,G96&lt;30),"中度拥堵",AND(G96&gt;=0,G96&lt;20),"严重拥堵")),_xlfn.IFS(F96&lt;60,_xlfn.IFS(G96&gt;=40,"畅通",AND(G96&gt;=30,G96&lt;40),"轻度拥堵",AND(G96&gt;=20,G96&lt;30),"中度拥堵",AND(G96&gt;=0,G96&lt;20),"严重拥堵"),F96=60,_xlfn.IFS(G96&gt;=40,"畅通",AND(G96&gt;=30,G96&lt;40),"轻度拥堵",AND(G96&gt;=20,G96&lt;30),"中度拥堵",AND(G96&gt;=0,G96&lt;20),"严重拥堵"),F96=70,_xlfn.IFS(G96&gt;=45,"畅通",AND(G96&gt;=30,G96&lt;45),"轻度拥堵",AND(G96&gt;=20,G96&lt;30),"中度拥堵",AND(G96&gt;=0,G96&lt;20),"严重拥堵"),F96=80,_xlfn.IFS(G96&gt;=50,"畅通",AND(G96&gt;=35,G96&lt;50),"轻度拥堵",AND(G96&gt;=20,G96&lt;35),"中度拥堵",AND(G96&gt;=0,G96&lt;20),"严重拥堵"),F96=90,_xlfn.IFS(G96&gt;=55,"畅通",AND(G96&gt;=35,G96&lt;55),"轻度拥堵",AND(G96&gt;=20,G96&lt;35),"中度拥堵",AND(G96&gt;=0,G96&lt;20),"严重拥堵"),F96=100,_xlfn.IFS(G96&gt;=60,"畅通",AND(G96&gt;=40,G96&lt;60),"轻度拥堵",AND(G96&gt;=20,G96&lt;40),"中度拥堵",AND(G96&gt;=0,G96&lt;20),"严重拥堵"),F96=110,_xlfn.IFS(G96&gt;=65,"畅通",AND(G96&gt;=45,G96&lt;65),"轻度拥堵",AND(G96&gt;=25,G96&lt;45),"中度拥堵",AND(G96&gt;=0,G96&lt;25),"严重拥堵"),F96=120,_xlfn.IFS(G96&gt;=70,"畅通",AND(G96&gt;=50,G96&lt;70),"轻度拥堵",AND(G96&gt;=30,G96&lt;50),"中度拥堵",AND(G96&gt;=0,G96&lt;30),"严重拥堵")))</f>
        <v>中度拥堵</v>
      </c>
    </row>
    <row r="97" spans="1:8" x14ac:dyDescent="0.2">
      <c r="A97">
        <v>96</v>
      </c>
      <c r="B97" t="str" cm="1">
        <f t="array" aca="1" ref="B97" ca="1">INDIRECT("r"&amp;RANDBETWEEN(22,23))</f>
        <v>城市快速路</v>
      </c>
      <c r="C97">
        <f t="shared" ca="1" si="20"/>
        <v>255</v>
      </c>
      <c r="D97">
        <f t="shared" ca="1" si="21"/>
        <v>3.7</v>
      </c>
      <c r="E97">
        <f t="shared" ca="1" si="16"/>
        <v>12.75</v>
      </c>
      <c r="F97" cm="1">
        <f t="array" aca="1" ref="F97" ca="1">INDIRECT("p"&amp;RANDBETWEEN(20,39))</f>
        <v>80</v>
      </c>
      <c r="G97">
        <f t="shared" ca="1" si="17"/>
        <v>74</v>
      </c>
      <c r="H97" t="str" cm="1">
        <f t="array" aca="1" ref="H97" ca="1">IF(OR(B97="主干路",B97="次干路"),_xlfn.IFS(F97=40,_xlfn.IFS(G97&gt;=25,"畅通",AND(G97&gt;=20,G97&lt;25),"轻度拥堵",AND(G97&gt;=15,G97&lt;20),"中度拥堵",AND(G97&gt;=0,G97&lt;15),"严重拥堵"),F97&lt;40,_xlfn.IFS(G97&gt;=25,"畅通",AND(G97&gt;=20,G97&lt;25),"轻度拥堵",AND(G97&gt;=10,G97&lt;20),"中度拥堵",AND(G97&gt;=0,G97&lt;10),"严重拥堵"),F97=50,_xlfn.IFS(G97&gt;=30,"畅通",AND(G97&gt;=25,G97&lt;30),"轻度拥堵",AND(G97&gt;=15,G97&lt;25),"中度拥堵",AND(G97&gt;=0,G97&lt;15),"严重拥堵"),F97=60,_xlfn.IFS(G97&gt;=35,"畅通",AND(G97&gt;=30,G97&lt;35),"轻度拥堵",AND(G97&gt;=20,G97&lt;30),"中度拥堵",AND(G97&gt;=0,G97&lt;20),"严重拥堵"),F97=70,_xlfn.IFS(G97&gt;=40,"畅通",AND(G97&gt;=30,G97&lt;40),"轻度拥堵",AND(G97&gt;=20,G97&lt;30),"中度拥堵",AND(G97&gt;=0,G97&lt;20),"严重拥堵"),F97=80,_xlfn.IFS(G97&gt;=45,"畅通",AND(G97&gt;=30,G97&lt;45),"轻度拥堵",AND(G97&gt;=20,G97&lt;30),"中度拥堵",AND(G97&gt;=0,G97&lt;20),"严重拥堵")),_xlfn.IFS(F97&lt;60,_xlfn.IFS(G97&gt;=40,"畅通",AND(G97&gt;=30,G97&lt;40),"轻度拥堵",AND(G97&gt;=20,G97&lt;30),"中度拥堵",AND(G97&gt;=0,G97&lt;20),"严重拥堵"),F97=60,_xlfn.IFS(G97&gt;=40,"畅通",AND(G97&gt;=30,G97&lt;40),"轻度拥堵",AND(G97&gt;=20,G97&lt;30),"中度拥堵",AND(G97&gt;=0,G97&lt;20),"严重拥堵"),F97=70,_xlfn.IFS(G97&gt;=45,"畅通",AND(G97&gt;=30,G97&lt;45),"轻度拥堵",AND(G97&gt;=20,G97&lt;30),"中度拥堵",AND(G97&gt;=0,G97&lt;20),"严重拥堵"),F97=80,_xlfn.IFS(G97&gt;=50,"畅通",AND(G97&gt;=35,G97&lt;50),"轻度拥堵",AND(G97&gt;=20,G97&lt;35),"中度拥堵",AND(G97&gt;=0,G97&lt;20),"严重拥堵"),F97=90,_xlfn.IFS(G97&gt;=55,"畅通",AND(G97&gt;=35,G97&lt;55),"轻度拥堵",AND(G97&gt;=20,G97&lt;35),"中度拥堵",AND(G97&gt;=0,G97&lt;20),"严重拥堵"),F97=100,_xlfn.IFS(G97&gt;=60,"畅通",AND(G97&gt;=40,G97&lt;60),"轻度拥堵",AND(G97&gt;=20,G97&lt;40),"中度拥堵",AND(G97&gt;=0,G97&lt;20),"严重拥堵"),F97=110,_xlfn.IFS(G97&gt;=65,"畅通",AND(G97&gt;=45,G97&lt;65),"轻度拥堵",AND(G97&gt;=25,G97&lt;45),"中度拥堵",AND(G97&gt;=0,G97&lt;25),"严重拥堵"),F97=120,_xlfn.IFS(G97&gt;=70,"畅通",AND(G97&gt;=50,G97&lt;70),"轻度拥堵",AND(G97&gt;=30,G97&lt;50),"中度拥堵",AND(G97&gt;=0,G97&lt;30),"严重拥堵")))</f>
        <v>畅通</v>
      </c>
    </row>
    <row r="98" spans="1:8" x14ac:dyDescent="0.2">
      <c r="A98">
        <v>97</v>
      </c>
      <c r="B98" t="str" cm="1">
        <f t="array" aca="1" ref="B98" ca="1">INDIRECT("r"&amp;RANDBETWEEN(22,23))</f>
        <v>城市快速路</v>
      </c>
      <c r="C98">
        <f t="shared" ca="1" si="20"/>
        <v>164</v>
      </c>
      <c r="D98">
        <f t="shared" ca="1" si="21"/>
        <v>4.0999999999999996</v>
      </c>
      <c r="E98">
        <f t="shared" ca="1" si="16"/>
        <v>9.61</v>
      </c>
      <c r="F98" cm="1">
        <f t="array" aca="1" ref="F98" ca="1">INDIRECT("p"&amp;RANDBETWEEN(20,39))</f>
        <v>80</v>
      </c>
      <c r="G98">
        <f t="shared" ca="1" si="17"/>
        <v>70</v>
      </c>
      <c r="H98" t="str" cm="1">
        <f t="array" aca="1" ref="H98" ca="1">IF(OR(B98="主干路",B98="次干路"),_xlfn.IFS(F98=40,_xlfn.IFS(G98&gt;=25,"畅通",AND(G98&gt;=20,G98&lt;25),"轻度拥堵",AND(G98&gt;=15,G98&lt;20),"中度拥堵",AND(G98&gt;=0,G98&lt;15),"严重拥堵"),F98&lt;40,_xlfn.IFS(G98&gt;=25,"畅通",AND(G98&gt;=20,G98&lt;25),"轻度拥堵",AND(G98&gt;=10,G98&lt;20),"中度拥堵",AND(G98&gt;=0,G98&lt;10),"严重拥堵"),F98=50,_xlfn.IFS(G98&gt;=30,"畅通",AND(G98&gt;=25,G98&lt;30),"轻度拥堵",AND(G98&gt;=15,G98&lt;25),"中度拥堵",AND(G98&gt;=0,G98&lt;15),"严重拥堵"),F98=60,_xlfn.IFS(G98&gt;=35,"畅通",AND(G98&gt;=30,G98&lt;35),"轻度拥堵",AND(G98&gt;=20,G98&lt;30),"中度拥堵",AND(G98&gt;=0,G98&lt;20),"严重拥堵"),F98=70,_xlfn.IFS(G98&gt;=40,"畅通",AND(G98&gt;=30,G98&lt;40),"轻度拥堵",AND(G98&gt;=20,G98&lt;30),"中度拥堵",AND(G98&gt;=0,G98&lt;20),"严重拥堵"),F98=80,_xlfn.IFS(G98&gt;=45,"畅通",AND(G98&gt;=30,G98&lt;45),"轻度拥堵",AND(G98&gt;=20,G98&lt;30),"中度拥堵",AND(G98&gt;=0,G98&lt;20),"严重拥堵")),_xlfn.IFS(F98&lt;60,_xlfn.IFS(G98&gt;=40,"畅通",AND(G98&gt;=30,G98&lt;40),"轻度拥堵",AND(G98&gt;=20,G98&lt;30),"中度拥堵",AND(G98&gt;=0,G98&lt;20),"严重拥堵"),F98=60,_xlfn.IFS(G98&gt;=40,"畅通",AND(G98&gt;=30,G98&lt;40),"轻度拥堵",AND(G98&gt;=20,G98&lt;30),"中度拥堵",AND(G98&gt;=0,G98&lt;20),"严重拥堵"),F98=70,_xlfn.IFS(G98&gt;=45,"畅通",AND(G98&gt;=30,G98&lt;45),"轻度拥堵",AND(G98&gt;=20,G98&lt;30),"中度拥堵",AND(G98&gt;=0,G98&lt;20),"严重拥堵"),F98=80,_xlfn.IFS(G98&gt;=50,"畅通",AND(G98&gt;=35,G98&lt;50),"轻度拥堵",AND(G98&gt;=20,G98&lt;35),"中度拥堵",AND(G98&gt;=0,G98&lt;20),"严重拥堵"),F98=90,_xlfn.IFS(G98&gt;=55,"畅通",AND(G98&gt;=35,G98&lt;55),"轻度拥堵",AND(G98&gt;=20,G98&lt;35),"中度拥堵",AND(G98&gt;=0,G98&lt;20),"严重拥堵"),F98=100,_xlfn.IFS(G98&gt;=60,"畅通",AND(G98&gt;=40,G98&lt;60),"轻度拥堵",AND(G98&gt;=20,G98&lt;40),"中度拥堵",AND(G98&gt;=0,G98&lt;20),"严重拥堵"),F98=110,_xlfn.IFS(G98&gt;=65,"畅通",AND(G98&gt;=45,G98&lt;65),"轻度拥堵",AND(G98&gt;=25,G98&lt;45),"中度拥堵",AND(G98&gt;=0,G98&lt;25),"严重拥堵"),F98=120,_xlfn.IFS(G98&gt;=70,"畅通",AND(G98&gt;=50,G98&lt;70),"轻度拥堵",AND(G98&gt;=30,G98&lt;50),"中度拥堵",AND(G98&gt;=0,G98&lt;30),"严重拥堵")))</f>
        <v>畅通</v>
      </c>
    </row>
    <row r="99" spans="1:8" x14ac:dyDescent="0.2">
      <c r="A99">
        <v>98</v>
      </c>
      <c r="B99" t="str" cm="1">
        <f t="array" aca="1" ref="B99" ca="1">INDIRECT("r"&amp;RANDBETWEEN(22,23))</f>
        <v>公路</v>
      </c>
      <c r="C99">
        <f t="shared" ca="1" si="20"/>
        <v>371</v>
      </c>
      <c r="D99">
        <f t="shared" ca="1" si="21"/>
        <v>5</v>
      </c>
      <c r="E99">
        <f t="shared" ca="1" si="16"/>
        <v>35</v>
      </c>
      <c r="F99" cm="1">
        <f t="array" aca="1" ref="F99" ca="1">INDIRECT("p"&amp;RANDBETWEEN(20,39))</f>
        <v>90</v>
      </c>
      <c r="G99">
        <f t="shared" ca="1" si="17"/>
        <v>53</v>
      </c>
      <c r="H99" t="str" cm="1">
        <f t="array" aca="1" ref="H99" ca="1">IF(OR(B99="主干路",B99="次干路"),_xlfn.IFS(F99=40,_xlfn.IFS(G99&gt;=25,"畅通",AND(G99&gt;=20,G99&lt;25),"轻度拥堵",AND(G99&gt;=15,G99&lt;20),"中度拥堵",AND(G99&gt;=0,G99&lt;15),"严重拥堵"),F99&lt;40,_xlfn.IFS(G99&gt;=25,"畅通",AND(G99&gt;=20,G99&lt;25),"轻度拥堵",AND(G99&gt;=10,G99&lt;20),"中度拥堵",AND(G99&gt;=0,G99&lt;10),"严重拥堵"),F99=50,_xlfn.IFS(G99&gt;=30,"畅通",AND(G99&gt;=25,G99&lt;30),"轻度拥堵",AND(G99&gt;=15,G99&lt;25),"中度拥堵",AND(G99&gt;=0,G99&lt;15),"严重拥堵"),F99=60,_xlfn.IFS(G99&gt;=35,"畅通",AND(G99&gt;=30,G99&lt;35),"轻度拥堵",AND(G99&gt;=20,G99&lt;30),"中度拥堵",AND(G99&gt;=0,G99&lt;20),"严重拥堵"),F99=70,_xlfn.IFS(G99&gt;=40,"畅通",AND(G99&gt;=30,G99&lt;40),"轻度拥堵",AND(G99&gt;=20,G99&lt;30),"中度拥堵",AND(G99&gt;=0,G99&lt;20),"严重拥堵"),F99=80,_xlfn.IFS(G99&gt;=45,"畅通",AND(G99&gt;=30,G99&lt;45),"轻度拥堵",AND(G99&gt;=20,G99&lt;30),"中度拥堵",AND(G99&gt;=0,G99&lt;20),"严重拥堵")),_xlfn.IFS(F99&lt;60,_xlfn.IFS(G99&gt;=40,"畅通",AND(G99&gt;=30,G99&lt;40),"轻度拥堵",AND(G99&gt;=20,G99&lt;30),"中度拥堵",AND(G99&gt;=0,G99&lt;20),"严重拥堵"),F99=60,_xlfn.IFS(G99&gt;=40,"畅通",AND(G99&gt;=30,G99&lt;40),"轻度拥堵",AND(G99&gt;=20,G99&lt;30),"中度拥堵",AND(G99&gt;=0,G99&lt;20),"严重拥堵"),F99=70,_xlfn.IFS(G99&gt;=45,"畅通",AND(G99&gt;=30,G99&lt;45),"轻度拥堵",AND(G99&gt;=20,G99&lt;30),"中度拥堵",AND(G99&gt;=0,G99&lt;20),"严重拥堵"),F99=80,_xlfn.IFS(G99&gt;=50,"畅通",AND(G99&gt;=35,G99&lt;50),"轻度拥堵",AND(G99&gt;=20,G99&lt;35),"中度拥堵",AND(G99&gt;=0,G99&lt;20),"严重拥堵"),F99=90,_xlfn.IFS(G99&gt;=55,"畅通",AND(G99&gt;=35,G99&lt;55),"轻度拥堵",AND(G99&gt;=20,G99&lt;35),"中度拥堵",AND(G99&gt;=0,G99&lt;20),"严重拥堵"),F99=100,_xlfn.IFS(G99&gt;=60,"畅通",AND(G99&gt;=40,G99&lt;60),"轻度拥堵",AND(G99&gt;=20,G99&lt;40),"中度拥堵",AND(G99&gt;=0,G99&lt;20),"严重拥堵"),F99=110,_xlfn.IFS(G99&gt;=65,"畅通",AND(G99&gt;=45,G99&lt;65),"轻度拥堵",AND(G99&gt;=25,G99&lt;45),"中度拥堵",AND(G99&gt;=0,G99&lt;25),"严重拥堵"),F99=120,_xlfn.IFS(G99&gt;=70,"畅通",AND(G99&gt;=50,G99&lt;70),"轻度拥堵",AND(G99&gt;=30,G99&lt;50),"中度拥堵",AND(G99&gt;=0,G99&lt;30),"严重拥堵")))</f>
        <v>轻度拥堵</v>
      </c>
    </row>
    <row r="100" spans="1:8" x14ac:dyDescent="0.2">
      <c r="A100">
        <v>99</v>
      </c>
      <c r="B100" t="str" cm="1">
        <f t="array" aca="1" ref="B100" ca="1">INDIRECT("r"&amp;RANDBETWEEN(22,23))</f>
        <v>公路</v>
      </c>
      <c r="C100">
        <f t="shared" ca="1" si="20"/>
        <v>255</v>
      </c>
      <c r="D100">
        <f t="shared" ca="1" si="21"/>
        <v>2</v>
      </c>
      <c r="E100">
        <f t="shared" ca="1" si="16"/>
        <v>7.97</v>
      </c>
      <c r="F100" cm="1">
        <f t="array" aca="1" ref="F100" ca="1">INDIRECT("p"&amp;RANDBETWEEN(20,39))</f>
        <v>80</v>
      </c>
      <c r="G100">
        <f t="shared" ca="1" si="17"/>
        <v>64</v>
      </c>
      <c r="H100" t="str" cm="1">
        <f t="array" aca="1" ref="H100" ca="1">IF(OR(B100="主干路",B100="次干路"),_xlfn.IFS(F100=40,_xlfn.IFS(G100&gt;=25,"畅通",AND(G100&gt;=20,G100&lt;25),"轻度拥堵",AND(G100&gt;=15,G100&lt;20),"中度拥堵",AND(G100&gt;=0,G100&lt;15),"严重拥堵"),F100&lt;40,_xlfn.IFS(G100&gt;=25,"畅通",AND(G100&gt;=20,G100&lt;25),"轻度拥堵",AND(G100&gt;=10,G100&lt;20),"中度拥堵",AND(G100&gt;=0,G100&lt;10),"严重拥堵"),F100=50,_xlfn.IFS(G100&gt;=30,"畅通",AND(G100&gt;=25,G100&lt;30),"轻度拥堵",AND(G100&gt;=15,G100&lt;25),"中度拥堵",AND(G100&gt;=0,G100&lt;15),"严重拥堵"),F100=60,_xlfn.IFS(G100&gt;=35,"畅通",AND(G100&gt;=30,G100&lt;35),"轻度拥堵",AND(G100&gt;=20,G100&lt;30),"中度拥堵",AND(G100&gt;=0,G100&lt;20),"严重拥堵"),F100=70,_xlfn.IFS(G100&gt;=40,"畅通",AND(G100&gt;=30,G100&lt;40),"轻度拥堵",AND(G100&gt;=20,G100&lt;30),"中度拥堵",AND(G100&gt;=0,G100&lt;20),"严重拥堵"),F100=80,_xlfn.IFS(G100&gt;=45,"畅通",AND(G100&gt;=30,G100&lt;45),"轻度拥堵",AND(G100&gt;=20,G100&lt;30),"中度拥堵",AND(G100&gt;=0,G100&lt;20),"严重拥堵")),_xlfn.IFS(F100&lt;60,_xlfn.IFS(G100&gt;=40,"畅通",AND(G100&gt;=30,G100&lt;40),"轻度拥堵",AND(G100&gt;=20,G100&lt;30),"中度拥堵",AND(G100&gt;=0,G100&lt;20),"严重拥堵"),F100=60,_xlfn.IFS(G100&gt;=40,"畅通",AND(G100&gt;=30,G100&lt;40),"轻度拥堵",AND(G100&gt;=20,G100&lt;30),"中度拥堵",AND(G100&gt;=0,G100&lt;20),"严重拥堵"),F100=70,_xlfn.IFS(G100&gt;=45,"畅通",AND(G100&gt;=30,G100&lt;45),"轻度拥堵",AND(G100&gt;=20,G100&lt;30),"中度拥堵",AND(G100&gt;=0,G100&lt;20),"严重拥堵"),F100=80,_xlfn.IFS(G100&gt;=50,"畅通",AND(G100&gt;=35,G100&lt;50),"轻度拥堵",AND(G100&gt;=20,G100&lt;35),"中度拥堵",AND(G100&gt;=0,G100&lt;20),"严重拥堵"),F100=90,_xlfn.IFS(G100&gt;=55,"畅通",AND(G100&gt;=35,G100&lt;55),"轻度拥堵",AND(G100&gt;=20,G100&lt;35),"中度拥堵",AND(G100&gt;=0,G100&lt;20),"严重拥堵"),F100=100,_xlfn.IFS(G100&gt;=60,"畅通",AND(G100&gt;=40,G100&lt;60),"轻度拥堵",AND(G100&gt;=20,G100&lt;40),"中度拥堵",AND(G100&gt;=0,G100&lt;20),"严重拥堵"),F100=110,_xlfn.IFS(G100&gt;=65,"畅通",AND(G100&gt;=45,G100&lt;65),"轻度拥堵",AND(G100&gt;=25,G100&lt;45),"中度拥堵",AND(G100&gt;=0,G100&lt;25),"严重拥堵"),F100=120,_xlfn.IFS(G100&gt;=70,"畅通",AND(G100&gt;=50,G100&lt;70),"轻度拥堵",AND(G100&gt;=30,G100&lt;50),"中度拥堵",AND(G100&gt;=0,G100&lt;30),"严重拥堵")))</f>
        <v>畅通</v>
      </c>
    </row>
    <row r="101" spans="1:8" x14ac:dyDescent="0.2">
      <c r="A101">
        <v>100</v>
      </c>
      <c r="B101" t="str" cm="1">
        <f t="array" aca="1" ref="B101" ca="1">INDIRECT("r"&amp;RANDBETWEEN(22,23))</f>
        <v>公路</v>
      </c>
      <c r="C101">
        <f t="shared" ca="1" si="20"/>
        <v>455</v>
      </c>
      <c r="D101">
        <f t="shared" ca="1" si="21"/>
        <v>3.8</v>
      </c>
      <c r="E101">
        <f t="shared" ca="1" si="16"/>
        <v>216.13</v>
      </c>
      <c r="F101" cm="1">
        <f t="array" aca="1" ref="F101" ca="1">INDIRECT("p"&amp;RANDBETWEEN(20,39))</f>
        <v>60</v>
      </c>
      <c r="G101">
        <f t="shared" ca="1" si="17"/>
        <v>8</v>
      </c>
      <c r="H101" t="str" cm="1">
        <f t="array" aca="1" ref="H101" ca="1">IF(OR(B101="主干路",B101="次干路"),_xlfn.IFS(F101=40,_xlfn.IFS(G101&gt;=25,"畅通",AND(G101&gt;=20,G101&lt;25),"轻度拥堵",AND(G101&gt;=15,G101&lt;20),"中度拥堵",AND(G101&gt;=0,G101&lt;15),"严重拥堵"),F101&lt;40,_xlfn.IFS(G101&gt;=25,"畅通",AND(G101&gt;=20,G101&lt;25),"轻度拥堵",AND(G101&gt;=10,G101&lt;20),"中度拥堵",AND(G101&gt;=0,G101&lt;10),"严重拥堵"),F101=50,_xlfn.IFS(G101&gt;=30,"畅通",AND(G101&gt;=25,G101&lt;30),"轻度拥堵",AND(G101&gt;=15,G101&lt;25),"中度拥堵",AND(G101&gt;=0,G101&lt;15),"严重拥堵"),F101=60,_xlfn.IFS(G101&gt;=35,"畅通",AND(G101&gt;=30,G101&lt;35),"轻度拥堵",AND(G101&gt;=20,G101&lt;30),"中度拥堵",AND(G101&gt;=0,G101&lt;20),"严重拥堵"),F101=70,_xlfn.IFS(G101&gt;=40,"畅通",AND(G101&gt;=30,G101&lt;40),"轻度拥堵",AND(G101&gt;=20,G101&lt;30),"中度拥堵",AND(G101&gt;=0,G101&lt;20),"严重拥堵"),F101=80,_xlfn.IFS(G101&gt;=45,"畅通",AND(G101&gt;=30,G101&lt;45),"轻度拥堵",AND(G101&gt;=20,G101&lt;30),"中度拥堵",AND(G101&gt;=0,G101&lt;20),"严重拥堵")),_xlfn.IFS(F101&lt;60,_xlfn.IFS(G101&gt;=40,"畅通",AND(G101&gt;=30,G101&lt;40),"轻度拥堵",AND(G101&gt;=20,G101&lt;30),"中度拥堵",AND(G101&gt;=0,G101&lt;20),"严重拥堵"),F101=60,_xlfn.IFS(G101&gt;=40,"畅通",AND(G101&gt;=30,G101&lt;40),"轻度拥堵",AND(G101&gt;=20,G101&lt;30),"中度拥堵",AND(G101&gt;=0,G101&lt;20),"严重拥堵"),F101=70,_xlfn.IFS(G101&gt;=45,"畅通",AND(G101&gt;=30,G101&lt;45),"轻度拥堵",AND(G101&gt;=20,G101&lt;30),"中度拥堵",AND(G101&gt;=0,G101&lt;20),"严重拥堵"),F101=80,_xlfn.IFS(G101&gt;=50,"畅通",AND(G101&gt;=35,G101&lt;50),"轻度拥堵",AND(G101&gt;=20,G101&lt;35),"中度拥堵",AND(G101&gt;=0,G101&lt;20),"严重拥堵"),F101=90,_xlfn.IFS(G101&gt;=55,"畅通",AND(G101&gt;=35,G101&lt;55),"轻度拥堵",AND(G101&gt;=20,G101&lt;35),"中度拥堵",AND(G101&gt;=0,G101&lt;20),"严重拥堵"),F101=100,_xlfn.IFS(G101&gt;=60,"畅通",AND(G101&gt;=40,G101&lt;60),"轻度拥堵",AND(G101&gt;=20,G101&lt;40),"中度拥堵",AND(G101&gt;=0,G101&lt;20),"严重拥堵"),F101=110,_xlfn.IFS(G101&gt;=65,"畅通",AND(G101&gt;=45,G101&lt;65),"轻度拥堵",AND(G101&gt;=25,G101&lt;45),"中度拥堵",AND(G101&gt;=0,G101&lt;25),"严重拥堵"),F101=120,_xlfn.IFS(G101&gt;=70,"畅通",AND(G101&gt;=50,G101&lt;70),"轻度拥堵",AND(G101&gt;=30,G101&lt;50),"中度拥堵",AND(G101&gt;=0,G101&lt;30),"严重拥堵")))</f>
        <v>严重拥堵</v>
      </c>
    </row>
    <row r="102" spans="1:8" x14ac:dyDescent="0.2">
      <c r="A102">
        <v>101</v>
      </c>
      <c r="B102" t="str" cm="1">
        <f t="array" aca="1" ref="B102" ca="1">INDIRECT("r"&amp;RANDBETWEEN(22,23))</f>
        <v>城市快速路</v>
      </c>
      <c r="C102">
        <f t="shared" ca="1" si="20"/>
        <v>338</v>
      </c>
      <c r="D102">
        <f t="shared" ca="1" si="21"/>
        <v>4</v>
      </c>
      <c r="E102">
        <f t="shared" ca="1" si="16"/>
        <v>17.559999999999999</v>
      </c>
      <c r="F102" cm="1">
        <f t="array" aca="1" ref="F102" ca="1">INDIRECT("p"&amp;RANDBETWEEN(20,39))</f>
        <v>80</v>
      </c>
      <c r="G102">
        <f t="shared" ca="1" si="17"/>
        <v>77</v>
      </c>
      <c r="H102" t="str" cm="1">
        <f t="array" aca="1" ref="H102" ca="1">IF(OR(B102="主干路",B102="次干路"),_xlfn.IFS(F102=40,_xlfn.IFS(G102&gt;=25,"畅通",AND(G102&gt;=20,G102&lt;25),"轻度拥堵",AND(G102&gt;=15,G102&lt;20),"中度拥堵",AND(G102&gt;=0,G102&lt;15),"严重拥堵"),F102&lt;40,_xlfn.IFS(G102&gt;=25,"畅通",AND(G102&gt;=20,G102&lt;25),"轻度拥堵",AND(G102&gt;=10,G102&lt;20),"中度拥堵",AND(G102&gt;=0,G102&lt;10),"严重拥堵"),F102=50,_xlfn.IFS(G102&gt;=30,"畅通",AND(G102&gt;=25,G102&lt;30),"轻度拥堵",AND(G102&gt;=15,G102&lt;25),"中度拥堵",AND(G102&gt;=0,G102&lt;15),"严重拥堵"),F102=60,_xlfn.IFS(G102&gt;=35,"畅通",AND(G102&gt;=30,G102&lt;35),"轻度拥堵",AND(G102&gt;=20,G102&lt;30),"中度拥堵",AND(G102&gt;=0,G102&lt;20),"严重拥堵"),F102=70,_xlfn.IFS(G102&gt;=40,"畅通",AND(G102&gt;=30,G102&lt;40),"轻度拥堵",AND(G102&gt;=20,G102&lt;30),"中度拥堵",AND(G102&gt;=0,G102&lt;20),"严重拥堵"),F102=80,_xlfn.IFS(G102&gt;=45,"畅通",AND(G102&gt;=30,G102&lt;45),"轻度拥堵",AND(G102&gt;=20,G102&lt;30),"中度拥堵",AND(G102&gt;=0,G102&lt;20),"严重拥堵")),_xlfn.IFS(F102&lt;60,_xlfn.IFS(G102&gt;=40,"畅通",AND(G102&gt;=30,G102&lt;40),"轻度拥堵",AND(G102&gt;=20,G102&lt;30),"中度拥堵",AND(G102&gt;=0,G102&lt;20),"严重拥堵"),F102=60,_xlfn.IFS(G102&gt;=40,"畅通",AND(G102&gt;=30,G102&lt;40),"轻度拥堵",AND(G102&gt;=20,G102&lt;30),"中度拥堵",AND(G102&gt;=0,G102&lt;20),"严重拥堵"),F102=70,_xlfn.IFS(G102&gt;=45,"畅通",AND(G102&gt;=30,G102&lt;45),"轻度拥堵",AND(G102&gt;=20,G102&lt;30),"中度拥堵",AND(G102&gt;=0,G102&lt;20),"严重拥堵"),F102=80,_xlfn.IFS(G102&gt;=50,"畅通",AND(G102&gt;=35,G102&lt;50),"轻度拥堵",AND(G102&gt;=20,G102&lt;35),"中度拥堵",AND(G102&gt;=0,G102&lt;20),"严重拥堵"),F102=90,_xlfn.IFS(G102&gt;=55,"畅通",AND(G102&gt;=35,G102&lt;55),"轻度拥堵",AND(G102&gt;=20,G102&lt;35),"中度拥堵",AND(G102&gt;=0,G102&lt;20),"严重拥堵"),F102=100,_xlfn.IFS(G102&gt;=60,"畅通",AND(G102&gt;=40,G102&lt;60),"轻度拥堵",AND(G102&gt;=20,G102&lt;40),"中度拥堵",AND(G102&gt;=0,G102&lt;20),"严重拥堵"),F102=110,_xlfn.IFS(G102&gt;=65,"畅通",AND(G102&gt;=45,G102&lt;65),"轻度拥堵",AND(G102&gt;=25,G102&lt;45),"中度拥堵",AND(G102&gt;=0,G102&lt;25),"严重拥堵"),F102=120,_xlfn.IFS(G102&gt;=70,"畅通",AND(G102&gt;=50,G102&lt;70),"轻度拥堵",AND(G102&gt;=30,G102&lt;50),"中度拥堵",AND(G102&gt;=0,G102&lt;30),"严重拥堵")))</f>
        <v>畅通</v>
      </c>
    </row>
    <row r="103" spans="1:8" x14ac:dyDescent="0.2">
      <c r="A103">
        <v>102</v>
      </c>
      <c r="B103" t="str" cm="1">
        <f t="array" aca="1" ref="B103" ca="1">INDIRECT("r"&amp;RANDBETWEEN(22,23))</f>
        <v>公路</v>
      </c>
      <c r="C103">
        <f t="shared" ca="1" si="20"/>
        <v>181</v>
      </c>
      <c r="D103">
        <f t="shared" ca="1" si="21"/>
        <v>2.8</v>
      </c>
      <c r="E103">
        <f t="shared" ca="1" si="16"/>
        <v>10.34</v>
      </c>
      <c r="F103" cm="1">
        <f t="array" aca="1" ref="F103" ca="1">INDIRECT("p"&amp;RANDBETWEEN(20,39))</f>
        <v>90</v>
      </c>
      <c r="G103">
        <f t="shared" ca="1" si="17"/>
        <v>49</v>
      </c>
      <c r="H103" t="str" cm="1">
        <f t="array" aca="1" ref="H103" ca="1">IF(OR(B103="主干路",B103="次干路"),_xlfn.IFS(F103=40,_xlfn.IFS(G103&gt;=25,"畅通",AND(G103&gt;=20,G103&lt;25),"轻度拥堵",AND(G103&gt;=15,G103&lt;20),"中度拥堵",AND(G103&gt;=0,G103&lt;15),"严重拥堵"),F103&lt;40,_xlfn.IFS(G103&gt;=25,"畅通",AND(G103&gt;=20,G103&lt;25),"轻度拥堵",AND(G103&gt;=10,G103&lt;20),"中度拥堵",AND(G103&gt;=0,G103&lt;10),"严重拥堵"),F103=50,_xlfn.IFS(G103&gt;=30,"畅通",AND(G103&gt;=25,G103&lt;30),"轻度拥堵",AND(G103&gt;=15,G103&lt;25),"中度拥堵",AND(G103&gt;=0,G103&lt;15),"严重拥堵"),F103=60,_xlfn.IFS(G103&gt;=35,"畅通",AND(G103&gt;=30,G103&lt;35),"轻度拥堵",AND(G103&gt;=20,G103&lt;30),"中度拥堵",AND(G103&gt;=0,G103&lt;20),"严重拥堵"),F103=70,_xlfn.IFS(G103&gt;=40,"畅通",AND(G103&gt;=30,G103&lt;40),"轻度拥堵",AND(G103&gt;=20,G103&lt;30),"中度拥堵",AND(G103&gt;=0,G103&lt;20),"严重拥堵"),F103=80,_xlfn.IFS(G103&gt;=45,"畅通",AND(G103&gt;=30,G103&lt;45),"轻度拥堵",AND(G103&gt;=20,G103&lt;30),"中度拥堵",AND(G103&gt;=0,G103&lt;20),"严重拥堵")),_xlfn.IFS(F103&lt;60,_xlfn.IFS(G103&gt;=40,"畅通",AND(G103&gt;=30,G103&lt;40),"轻度拥堵",AND(G103&gt;=20,G103&lt;30),"中度拥堵",AND(G103&gt;=0,G103&lt;20),"严重拥堵"),F103=60,_xlfn.IFS(G103&gt;=40,"畅通",AND(G103&gt;=30,G103&lt;40),"轻度拥堵",AND(G103&gt;=20,G103&lt;30),"中度拥堵",AND(G103&gt;=0,G103&lt;20),"严重拥堵"),F103=70,_xlfn.IFS(G103&gt;=45,"畅通",AND(G103&gt;=30,G103&lt;45),"轻度拥堵",AND(G103&gt;=20,G103&lt;30),"中度拥堵",AND(G103&gt;=0,G103&lt;20),"严重拥堵"),F103=80,_xlfn.IFS(G103&gt;=50,"畅通",AND(G103&gt;=35,G103&lt;50),"轻度拥堵",AND(G103&gt;=20,G103&lt;35),"中度拥堵",AND(G103&gt;=0,G103&lt;20),"严重拥堵"),F103=90,_xlfn.IFS(G103&gt;=55,"畅通",AND(G103&gt;=35,G103&lt;55),"轻度拥堵",AND(G103&gt;=20,G103&lt;35),"中度拥堵",AND(G103&gt;=0,G103&lt;20),"严重拥堵"),F103=100,_xlfn.IFS(G103&gt;=60,"畅通",AND(G103&gt;=40,G103&lt;60),"轻度拥堵",AND(G103&gt;=20,G103&lt;40),"中度拥堵",AND(G103&gt;=0,G103&lt;20),"严重拥堵"),F103=110,_xlfn.IFS(G103&gt;=65,"畅通",AND(G103&gt;=45,G103&lt;65),"轻度拥堵",AND(G103&gt;=25,G103&lt;45),"中度拥堵",AND(G103&gt;=0,G103&lt;25),"严重拥堵"),F103=120,_xlfn.IFS(G103&gt;=70,"畅通",AND(G103&gt;=50,G103&lt;70),"轻度拥堵",AND(G103&gt;=30,G103&lt;50),"中度拥堵",AND(G103&gt;=0,G103&lt;30),"严重拥堵")))</f>
        <v>轻度拥堵</v>
      </c>
    </row>
    <row r="104" spans="1:8" x14ac:dyDescent="0.2">
      <c r="A104">
        <v>103</v>
      </c>
      <c r="B104" t="str" cm="1">
        <f t="array" aca="1" ref="B104" ca="1">INDIRECT("r"&amp;RANDBETWEEN(22,23))</f>
        <v>公路</v>
      </c>
      <c r="C104">
        <f t="shared" ca="1" si="20"/>
        <v>453</v>
      </c>
      <c r="D104">
        <f t="shared" ca="1" si="21"/>
        <v>3.9</v>
      </c>
      <c r="E104">
        <f t="shared" ca="1" si="16"/>
        <v>27.18</v>
      </c>
      <c r="F104" cm="1">
        <f t="array" aca="1" ref="F104" ca="1">INDIRECT("p"&amp;RANDBETWEEN(20,39))</f>
        <v>80</v>
      </c>
      <c r="G104">
        <f t="shared" ca="1" si="17"/>
        <v>65</v>
      </c>
      <c r="H104" t="str" cm="1">
        <f t="array" aca="1" ref="H104" ca="1">IF(OR(B104="主干路",B104="次干路"),_xlfn.IFS(F104=40,_xlfn.IFS(G104&gt;=25,"畅通",AND(G104&gt;=20,G104&lt;25),"轻度拥堵",AND(G104&gt;=15,G104&lt;20),"中度拥堵",AND(G104&gt;=0,G104&lt;15),"严重拥堵"),F104&lt;40,_xlfn.IFS(G104&gt;=25,"畅通",AND(G104&gt;=20,G104&lt;25),"轻度拥堵",AND(G104&gt;=10,G104&lt;20),"中度拥堵",AND(G104&gt;=0,G104&lt;10),"严重拥堵"),F104=50,_xlfn.IFS(G104&gt;=30,"畅通",AND(G104&gt;=25,G104&lt;30),"轻度拥堵",AND(G104&gt;=15,G104&lt;25),"中度拥堵",AND(G104&gt;=0,G104&lt;15),"严重拥堵"),F104=60,_xlfn.IFS(G104&gt;=35,"畅通",AND(G104&gt;=30,G104&lt;35),"轻度拥堵",AND(G104&gt;=20,G104&lt;30),"中度拥堵",AND(G104&gt;=0,G104&lt;20),"严重拥堵"),F104=70,_xlfn.IFS(G104&gt;=40,"畅通",AND(G104&gt;=30,G104&lt;40),"轻度拥堵",AND(G104&gt;=20,G104&lt;30),"中度拥堵",AND(G104&gt;=0,G104&lt;20),"严重拥堵"),F104=80,_xlfn.IFS(G104&gt;=45,"畅通",AND(G104&gt;=30,G104&lt;45),"轻度拥堵",AND(G104&gt;=20,G104&lt;30),"中度拥堵",AND(G104&gt;=0,G104&lt;20),"严重拥堵")),_xlfn.IFS(F104&lt;60,_xlfn.IFS(G104&gt;=40,"畅通",AND(G104&gt;=30,G104&lt;40),"轻度拥堵",AND(G104&gt;=20,G104&lt;30),"中度拥堵",AND(G104&gt;=0,G104&lt;20),"严重拥堵"),F104=60,_xlfn.IFS(G104&gt;=40,"畅通",AND(G104&gt;=30,G104&lt;40),"轻度拥堵",AND(G104&gt;=20,G104&lt;30),"中度拥堵",AND(G104&gt;=0,G104&lt;20),"严重拥堵"),F104=70,_xlfn.IFS(G104&gt;=45,"畅通",AND(G104&gt;=30,G104&lt;45),"轻度拥堵",AND(G104&gt;=20,G104&lt;30),"中度拥堵",AND(G104&gt;=0,G104&lt;20),"严重拥堵"),F104=80,_xlfn.IFS(G104&gt;=50,"畅通",AND(G104&gt;=35,G104&lt;50),"轻度拥堵",AND(G104&gt;=20,G104&lt;35),"中度拥堵",AND(G104&gt;=0,G104&lt;20),"严重拥堵"),F104=90,_xlfn.IFS(G104&gt;=55,"畅通",AND(G104&gt;=35,G104&lt;55),"轻度拥堵",AND(G104&gt;=20,G104&lt;35),"中度拥堵",AND(G104&gt;=0,G104&lt;20),"严重拥堵"),F104=100,_xlfn.IFS(G104&gt;=60,"畅通",AND(G104&gt;=40,G104&lt;60),"轻度拥堵",AND(G104&gt;=20,G104&lt;40),"中度拥堵",AND(G104&gt;=0,G104&lt;20),"严重拥堵"),F104=110,_xlfn.IFS(G104&gt;=65,"畅通",AND(G104&gt;=45,G104&lt;65),"轻度拥堵",AND(G104&gt;=25,G104&lt;45),"中度拥堵",AND(G104&gt;=0,G104&lt;25),"严重拥堵"),F104=120,_xlfn.IFS(G104&gt;=70,"畅通",AND(G104&gt;=50,G104&lt;70),"轻度拥堵",AND(G104&gt;=30,G104&lt;50),"中度拥堵",AND(G104&gt;=0,G104&lt;30),"严重拥堵")))</f>
        <v>畅通</v>
      </c>
    </row>
    <row r="105" spans="1:8" x14ac:dyDescent="0.2">
      <c r="A105">
        <v>104</v>
      </c>
      <c r="B105" t="str" cm="1">
        <f t="array" aca="1" ref="B105" ca="1">INDIRECT("r"&amp;RANDBETWEEN(22,23))</f>
        <v>城市快速路</v>
      </c>
      <c r="C105">
        <f t="shared" ca="1" si="20"/>
        <v>329</v>
      </c>
      <c r="D105">
        <f t="shared" ca="1" si="21"/>
        <v>4.8</v>
      </c>
      <c r="E105">
        <f t="shared" ref="E105:E136" ca="1" si="22">ROUND(C105*D105/G105,2)</f>
        <v>87.73</v>
      </c>
      <c r="F105" cm="1">
        <f t="array" aca="1" ref="F105" ca="1">INDIRECT("p"&amp;RANDBETWEEN(20,39))</f>
        <v>70</v>
      </c>
      <c r="G105">
        <f t="shared" ref="G105:G136" ca="1" si="23">RANDBETWEEN(1,F105)</f>
        <v>18</v>
      </c>
      <c r="H105" t="str" cm="1">
        <f t="array" aca="1" ref="H105" ca="1">IF(OR(B105="主干路",B105="次干路"),_xlfn.IFS(F105=40,_xlfn.IFS(G105&gt;=25,"畅通",AND(G105&gt;=20,G105&lt;25),"轻度拥堵",AND(G105&gt;=15,G105&lt;20),"中度拥堵",AND(G105&gt;=0,G105&lt;15),"严重拥堵"),F105&lt;40,_xlfn.IFS(G105&gt;=25,"畅通",AND(G105&gt;=20,G105&lt;25),"轻度拥堵",AND(G105&gt;=10,G105&lt;20),"中度拥堵",AND(G105&gt;=0,G105&lt;10),"严重拥堵"),F105=50,_xlfn.IFS(G105&gt;=30,"畅通",AND(G105&gt;=25,G105&lt;30),"轻度拥堵",AND(G105&gt;=15,G105&lt;25),"中度拥堵",AND(G105&gt;=0,G105&lt;15),"严重拥堵"),F105=60,_xlfn.IFS(G105&gt;=35,"畅通",AND(G105&gt;=30,G105&lt;35),"轻度拥堵",AND(G105&gt;=20,G105&lt;30),"中度拥堵",AND(G105&gt;=0,G105&lt;20),"严重拥堵"),F105=70,_xlfn.IFS(G105&gt;=40,"畅通",AND(G105&gt;=30,G105&lt;40),"轻度拥堵",AND(G105&gt;=20,G105&lt;30),"中度拥堵",AND(G105&gt;=0,G105&lt;20),"严重拥堵"),F105=80,_xlfn.IFS(G105&gt;=45,"畅通",AND(G105&gt;=30,G105&lt;45),"轻度拥堵",AND(G105&gt;=20,G105&lt;30),"中度拥堵",AND(G105&gt;=0,G105&lt;20),"严重拥堵")),_xlfn.IFS(F105&lt;60,_xlfn.IFS(G105&gt;=40,"畅通",AND(G105&gt;=30,G105&lt;40),"轻度拥堵",AND(G105&gt;=20,G105&lt;30),"中度拥堵",AND(G105&gt;=0,G105&lt;20),"严重拥堵"),F105=60,_xlfn.IFS(G105&gt;=40,"畅通",AND(G105&gt;=30,G105&lt;40),"轻度拥堵",AND(G105&gt;=20,G105&lt;30),"中度拥堵",AND(G105&gt;=0,G105&lt;20),"严重拥堵"),F105=70,_xlfn.IFS(G105&gt;=45,"畅通",AND(G105&gt;=30,G105&lt;45),"轻度拥堵",AND(G105&gt;=20,G105&lt;30),"中度拥堵",AND(G105&gt;=0,G105&lt;20),"严重拥堵"),F105=80,_xlfn.IFS(G105&gt;=50,"畅通",AND(G105&gt;=35,G105&lt;50),"轻度拥堵",AND(G105&gt;=20,G105&lt;35),"中度拥堵",AND(G105&gt;=0,G105&lt;20),"严重拥堵"),F105=90,_xlfn.IFS(G105&gt;=55,"畅通",AND(G105&gt;=35,G105&lt;55),"轻度拥堵",AND(G105&gt;=20,G105&lt;35),"中度拥堵",AND(G105&gt;=0,G105&lt;20),"严重拥堵"),F105=100,_xlfn.IFS(G105&gt;=60,"畅通",AND(G105&gt;=40,G105&lt;60),"轻度拥堵",AND(G105&gt;=20,G105&lt;40),"中度拥堵",AND(G105&gt;=0,G105&lt;20),"严重拥堵"),F105=110,_xlfn.IFS(G105&gt;=65,"畅通",AND(G105&gt;=45,G105&lt;65),"轻度拥堵",AND(G105&gt;=25,G105&lt;45),"中度拥堵",AND(G105&gt;=0,G105&lt;25),"严重拥堵"),F105=120,_xlfn.IFS(G105&gt;=70,"畅通",AND(G105&gt;=50,G105&lt;70),"轻度拥堵",AND(G105&gt;=30,G105&lt;50),"中度拥堵",AND(G105&gt;=0,G105&lt;30),"严重拥堵")))</f>
        <v>严重拥堵</v>
      </c>
    </row>
    <row r="106" spans="1:8" x14ac:dyDescent="0.2">
      <c r="A106">
        <v>105</v>
      </c>
      <c r="B106" t="str" cm="1">
        <f t="array" aca="1" ref="B106" ca="1">INDIRECT("s"&amp;RANDBETWEEN(22,23))</f>
        <v>次干路</v>
      </c>
      <c r="C106">
        <f ca="1">RANDBETWEEN(78,182)</f>
        <v>165</v>
      </c>
      <c r="D106">
        <f ca="1">RANDBETWEEN(5,30)/10</f>
        <v>0.6</v>
      </c>
      <c r="E106">
        <f t="shared" ca="1" si="22"/>
        <v>1.8</v>
      </c>
      <c r="F106" cm="1">
        <f t="array" aca="1" ref="F106" ca="1">INDIRECT("q"&amp;RANDBETWEEN(20,38))</f>
        <v>60</v>
      </c>
      <c r="G106">
        <f t="shared" ca="1" si="23"/>
        <v>55</v>
      </c>
      <c r="H106" t="str" cm="1">
        <f t="array" aca="1" ref="H106" ca="1">IF(OR(B106="主干路",B106="次干路"),_xlfn.IFS(F106=40,_xlfn.IFS(G106&gt;=25,"畅通",AND(G106&gt;=20,G106&lt;25),"轻度拥堵",AND(G106&gt;=15,G106&lt;20),"中度拥堵",AND(G106&gt;=0,G106&lt;15),"严重拥堵"),F106&lt;40,_xlfn.IFS(G106&gt;=25,"畅通",AND(G106&gt;=20,G106&lt;25),"轻度拥堵",AND(G106&gt;=10,G106&lt;20),"中度拥堵",AND(G106&gt;=0,G106&lt;10),"严重拥堵"),F106=50,_xlfn.IFS(G106&gt;=30,"畅通",AND(G106&gt;=25,G106&lt;30),"轻度拥堵",AND(G106&gt;=15,G106&lt;25),"中度拥堵",AND(G106&gt;=0,G106&lt;15),"严重拥堵"),F106=60,_xlfn.IFS(G106&gt;=35,"畅通",AND(G106&gt;=30,G106&lt;35),"轻度拥堵",AND(G106&gt;=20,G106&lt;30),"中度拥堵",AND(G106&gt;=0,G106&lt;20),"严重拥堵"),F106=70,_xlfn.IFS(G106&gt;=40,"畅通",AND(G106&gt;=30,G106&lt;40),"轻度拥堵",AND(G106&gt;=20,G106&lt;30),"中度拥堵",AND(G106&gt;=0,G106&lt;20),"严重拥堵"),F106=80,_xlfn.IFS(G106&gt;=45,"畅通",AND(G106&gt;=30,G106&lt;45),"轻度拥堵",AND(G106&gt;=20,G106&lt;30),"中度拥堵",AND(G106&gt;=0,G106&lt;20),"严重拥堵")),_xlfn.IFS(F106&lt;60,_xlfn.IFS(G106&gt;=40,"畅通",AND(G106&gt;=30,G106&lt;40),"轻度拥堵",AND(G106&gt;=20,G106&lt;30),"中度拥堵",AND(G106&gt;=0,G106&lt;20),"严重拥堵"),F106=60,_xlfn.IFS(G106&gt;=40,"畅通",AND(G106&gt;=30,G106&lt;40),"轻度拥堵",AND(G106&gt;=20,G106&lt;30),"中度拥堵",AND(G106&gt;=0,G106&lt;20),"严重拥堵"),F106=70,_xlfn.IFS(G106&gt;=45,"畅通",AND(G106&gt;=20,G106&lt;25),"轻度拥堵",AND(G106&gt;=10,G106&lt;20),"中度拥堵",AND(G106&gt;=0,G106&lt;10),"严重拥堵"),F106=80,_xlfn.IFS(G106&gt;=50,"畅通",AND(G106&gt;=35,G106&lt;50),"轻度拥堵",AND(G106&gt;=20,G106&lt;35),"中度拥堵",AND(G106&gt;=0,G106&lt;20),"严重拥堵"),F106=90,_xlfn.IFS(G106&gt;=55,"畅通",AND(G106&gt;=35,G106&lt;55),"轻度拥堵",AND(G106&gt;=20,G106&lt;35),"中度拥堵",AND(G106&gt;=0,G106&lt;20),"严重拥堵"),F106=100,_xlfn.IFS(G106&gt;=60,"畅通",AND(G106&gt;=40,G106&lt;60),"轻度拥堵",AND(G106&gt;=20,G106&lt;40),"中度拥堵",AND(G106&gt;=0,G106&lt;20),"严重拥堵"),F106=110,_xlfn.IFS(G106&gt;=65,"畅通",AND(G106&gt;=45,G106&lt;65),"轻度拥堵",AND(G106&gt;=25,G106&lt;45),"中度拥堵",AND(G106&gt;=0,G106&lt;25),"严重拥堵"),F106=120,_xlfn.IFS(G106&gt;=70,"畅通",AND(G106&gt;=50,G106&lt;70),"轻度拥堵",AND(G106&gt;=30,G106&lt;50),"中度拥堵",AND(G106&gt;=0,G106&lt;30),"严重拥堵")))</f>
        <v>畅通</v>
      </c>
    </row>
    <row r="107" spans="1:8" x14ac:dyDescent="0.2">
      <c r="A107">
        <v>106</v>
      </c>
      <c r="B107" t="str" cm="1">
        <f t="array" aca="1" ref="B107" ca="1">INDIRECT("s"&amp;RANDBETWEEN(22,23))</f>
        <v>次干路</v>
      </c>
      <c r="C107">
        <f ca="1">RANDBETWEEN(78,182)</f>
        <v>154</v>
      </c>
      <c r="D107">
        <f ca="1">RANDBETWEEN(5,30)/10</f>
        <v>1.8</v>
      </c>
      <c r="E107">
        <f t="shared" ca="1" si="22"/>
        <v>17.329999999999998</v>
      </c>
      <c r="F107" cm="1">
        <f t="array" aca="1" ref="F107" ca="1">INDIRECT("q"&amp;RANDBETWEEN(20,38))</f>
        <v>60</v>
      </c>
      <c r="G107">
        <f t="shared" ca="1" si="23"/>
        <v>16</v>
      </c>
      <c r="H107" t="str" cm="1">
        <f t="array" aca="1" ref="H107" ca="1">IF(OR(B107="主干路",B107="次干路"),_xlfn.IFS(F107=40,_xlfn.IFS(G107&gt;=25,"畅通",AND(G107&gt;=20,G107&lt;25),"轻度拥堵",AND(G107&gt;=15,G107&lt;20),"中度拥堵",AND(G107&gt;=0,G107&lt;15),"严重拥堵"),F107&lt;40,_xlfn.IFS(G107&gt;=25,"畅通",AND(G107&gt;=20,G107&lt;25),"轻度拥堵",AND(G107&gt;=10,G107&lt;20),"中度拥堵",AND(G107&gt;=0,G107&lt;10),"严重拥堵"),F107=50,_xlfn.IFS(G107&gt;=30,"畅通",AND(G107&gt;=25,G107&lt;30),"轻度拥堵",AND(G107&gt;=15,G107&lt;25),"中度拥堵",AND(G107&gt;=0,G107&lt;15),"严重拥堵"),F107=60,_xlfn.IFS(G107&gt;=35,"畅通",AND(G107&gt;=30,G107&lt;35),"轻度拥堵",AND(G107&gt;=20,G107&lt;30),"中度拥堵",AND(G107&gt;=0,G107&lt;20),"严重拥堵"),F107=70,_xlfn.IFS(G107&gt;=40,"畅通",AND(G107&gt;=30,G107&lt;40),"轻度拥堵",AND(G107&gt;=20,G107&lt;30),"中度拥堵",AND(G107&gt;=0,G107&lt;20),"严重拥堵"),F107=80,_xlfn.IFS(G107&gt;=45,"畅通",AND(G107&gt;=30,G107&lt;45),"轻度拥堵",AND(G107&gt;=20,G107&lt;30),"中度拥堵",AND(G107&gt;=0,G107&lt;20),"严重拥堵")),_xlfn.IFS(F107&lt;60,_xlfn.IFS(G107&gt;=40,"畅通",AND(G107&gt;=30,G107&lt;40),"轻度拥堵",AND(G107&gt;=20,G107&lt;30),"中度拥堵",AND(G107&gt;=0,G107&lt;20),"严重拥堵"),F107=60,_xlfn.IFS(G107&gt;=40,"畅通",AND(G107&gt;=30,G107&lt;40),"轻度拥堵",AND(G107&gt;=20,G107&lt;30),"中度拥堵",AND(G107&gt;=0,G107&lt;20),"严重拥堵"),F107=70,_xlfn.IFS(G107&gt;=45,"畅通",AND(G107&gt;=20,G107&lt;25),"轻度拥堵",AND(G107&gt;=10,G107&lt;20),"中度拥堵",AND(G107&gt;=0,G107&lt;10),"严重拥堵"),F107=80,_xlfn.IFS(G107&gt;=50,"畅通",AND(G107&gt;=35,G107&lt;50),"轻度拥堵",AND(G107&gt;=20,G107&lt;35),"中度拥堵",AND(G107&gt;=0,G107&lt;20),"严重拥堵"),F107=90,_xlfn.IFS(G107&gt;=55,"畅通",AND(G107&gt;=35,G107&lt;55),"轻度拥堵",AND(G107&gt;=20,G107&lt;35),"中度拥堵",AND(G107&gt;=0,G107&lt;20),"严重拥堵"),F107=100,_xlfn.IFS(G107&gt;=60,"畅通",AND(G107&gt;=40,G107&lt;60),"轻度拥堵",AND(G107&gt;=20,G107&lt;40),"中度拥堵",AND(G107&gt;=0,G107&lt;20),"严重拥堵"),F107=110,_xlfn.IFS(G107&gt;=65,"畅通",AND(G107&gt;=45,G107&lt;65),"轻度拥堵",AND(G107&gt;=25,G107&lt;45),"中度拥堵",AND(G107&gt;=0,G107&lt;25),"严重拥堵"),F107=120,_xlfn.IFS(G107&gt;=70,"畅通",AND(G107&gt;=50,G107&lt;70),"轻度拥堵",AND(G107&gt;=30,G107&lt;50),"中度拥堵",AND(G107&gt;=0,G107&lt;30),"严重拥堵")))</f>
        <v>严重拥堵</v>
      </c>
    </row>
    <row r="108" spans="1:8" x14ac:dyDescent="0.2">
      <c r="A108">
        <v>107</v>
      </c>
      <c r="B108" t="str" cm="1">
        <f t="array" aca="1" ref="B108" ca="1">INDIRECT("r"&amp;RANDBETWEEN(22,23))</f>
        <v>城市快速路</v>
      </c>
      <c r="C108">
        <f ca="1">RANDBETWEEN(145,482)</f>
        <v>161</v>
      </c>
      <c r="D108">
        <f ca="1">RANDBETWEEN(20,50)/10</f>
        <v>4.7</v>
      </c>
      <c r="E108">
        <f t="shared" ca="1" si="22"/>
        <v>27.03</v>
      </c>
      <c r="F108" cm="1">
        <f t="array" aca="1" ref="F108" ca="1">INDIRECT("p"&amp;RANDBETWEEN(20,39))</f>
        <v>70</v>
      </c>
      <c r="G108">
        <f t="shared" ca="1" si="23"/>
        <v>28</v>
      </c>
      <c r="H108" t="str" cm="1">
        <f t="array" aca="1" ref="H108" ca="1">IF(OR(B108="主干路",B108="次干路"),_xlfn.IFS(F108=40,_xlfn.IFS(G108&gt;=25,"畅通",AND(G108&gt;=20,G108&lt;25),"轻度拥堵",AND(G108&gt;=15,G108&lt;20),"中度拥堵",AND(G108&gt;=0,G108&lt;15),"严重拥堵"),F108&lt;40,_xlfn.IFS(G108&gt;=25,"畅通",AND(G108&gt;=20,G108&lt;25),"轻度拥堵",AND(G108&gt;=10,G108&lt;20),"中度拥堵",AND(G108&gt;=0,G108&lt;10),"严重拥堵"),F108=50,_xlfn.IFS(G108&gt;=30,"畅通",AND(G108&gt;=25,G108&lt;30),"轻度拥堵",AND(G108&gt;=15,G108&lt;25),"中度拥堵",AND(G108&gt;=0,G108&lt;15),"严重拥堵"),F108=60,_xlfn.IFS(G108&gt;=35,"畅通",AND(G108&gt;=30,G108&lt;35),"轻度拥堵",AND(G108&gt;=20,G108&lt;30),"中度拥堵",AND(G108&gt;=0,G108&lt;20),"严重拥堵"),F108=70,_xlfn.IFS(G108&gt;=40,"畅通",AND(G108&gt;=30,G108&lt;40),"轻度拥堵",AND(G108&gt;=20,G108&lt;30),"中度拥堵",AND(G108&gt;=0,G108&lt;20),"严重拥堵"),F108=80,_xlfn.IFS(G108&gt;=45,"畅通",AND(G108&gt;=30,G108&lt;45),"轻度拥堵",AND(G108&gt;=20,G108&lt;30),"中度拥堵",AND(G108&gt;=0,G108&lt;20),"严重拥堵")),_xlfn.IFS(F108&lt;60,_xlfn.IFS(G108&gt;=40,"畅通",AND(G108&gt;=30,G108&lt;40),"轻度拥堵",AND(G108&gt;=20,G108&lt;30),"中度拥堵",AND(G108&gt;=0,G108&lt;20),"严重拥堵"),F108=60,_xlfn.IFS(G108&gt;=40,"畅通",AND(G108&gt;=30,G108&lt;40),"轻度拥堵",AND(G108&gt;=20,G108&lt;30),"中度拥堵",AND(G108&gt;=0,G108&lt;20),"严重拥堵"),F108=70,_xlfn.IFS(G108&gt;=45,"畅通",AND(G108&gt;=30,G108&lt;45),"轻度拥堵",AND(G108&gt;=20,G108&lt;30),"中度拥堵",AND(G108&gt;=0,G108&lt;20),"严重拥堵"),F108=80,_xlfn.IFS(G108&gt;=50,"畅通",AND(G108&gt;=35,G108&lt;50),"轻度拥堵",AND(G108&gt;=20,G108&lt;35),"中度拥堵",AND(G108&gt;=0,G108&lt;20),"严重拥堵"),F108=90,_xlfn.IFS(G108&gt;=55,"畅通",AND(G108&gt;=35,G108&lt;55),"轻度拥堵",AND(G108&gt;=20,G108&lt;35),"中度拥堵",AND(G108&gt;=0,G108&lt;20),"严重拥堵"),F108=100,_xlfn.IFS(G108&gt;=60,"畅通",AND(G108&gt;=40,G108&lt;60),"轻度拥堵",AND(G108&gt;=20,G108&lt;40),"中度拥堵",AND(G108&gt;=0,G108&lt;20),"严重拥堵"),F108=110,_xlfn.IFS(G108&gt;=65,"畅通",AND(G108&gt;=45,G108&lt;65),"轻度拥堵",AND(G108&gt;=25,G108&lt;45),"中度拥堵",AND(G108&gt;=0,G108&lt;25),"严重拥堵"),F108=120,_xlfn.IFS(G108&gt;=70,"畅通",AND(G108&gt;=50,G108&lt;70),"轻度拥堵",AND(G108&gt;=30,G108&lt;50),"中度拥堵",AND(G108&gt;=0,G108&lt;30),"严重拥堵")))</f>
        <v>中度拥堵</v>
      </c>
    </row>
    <row r="109" spans="1:8" x14ac:dyDescent="0.2">
      <c r="A109">
        <v>108</v>
      </c>
      <c r="B109" t="str" cm="1">
        <f t="array" aca="1" ref="B109" ca="1">INDIRECT("s"&amp;RANDBETWEEN(22,23))</f>
        <v>次干路</v>
      </c>
      <c r="C109">
        <f ca="1">RANDBETWEEN(78,182)</f>
        <v>142</v>
      </c>
      <c r="D109">
        <f ca="1">RANDBETWEEN(5,30)/10</f>
        <v>1.3</v>
      </c>
      <c r="E109">
        <f t="shared" ca="1" si="22"/>
        <v>92.3</v>
      </c>
      <c r="F109" cm="1">
        <f t="array" aca="1" ref="F109" ca="1">INDIRECT("q"&amp;RANDBETWEEN(20,38))</f>
        <v>60</v>
      </c>
      <c r="G109">
        <f t="shared" ca="1" si="23"/>
        <v>2</v>
      </c>
      <c r="H109" t="str" cm="1">
        <f t="array" aca="1" ref="H109" ca="1">IF(OR(B109="主干路",B109="次干路"),_xlfn.IFS(F109=40,_xlfn.IFS(G109&gt;=25,"畅通",AND(G109&gt;=20,G109&lt;25),"轻度拥堵",AND(G109&gt;=15,G109&lt;20),"中度拥堵",AND(G109&gt;=0,G109&lt;15),"严重拥堵"),F109&lt;40,_xlfn.IFS(G109&gt;=25,"畅通",AND(G109&gt;=20,G109&lt;25),"轻度拥堵",AND(G109&gt;=10,G109&lt;20),"中度拥堵",AND(G109&gt;=0,G109&lt;10),"严重拥堵"),F109=50,_xlfn.IFS(G109&gt;=30,"畅通",AND(G109&gt;=25,G109&lt;30),"轻度拥堵",AND(G109&gt;=15,G109&lt;25),"中度拥堵",AND(G109&gt;=0,G109&lt;15),"严重拥堵"),F109=60,_xlfn.IFS(G109&gt;=35,"畅通",AND(G109&gt;=30,G109&lt;35),"轻度拥堵",AND(G109&gt;=20,G109&lt;30),"中度拥堵",AND(G109&gt;=0,G109&lt;20),"严重拥堵"),F109=70,_xlfn.IFS(G109&gt;=40,"畅通",AND(G109&gt;=30,G109&lt;40),"轻度拥堵",AND(G109&gt;=20,G109&lt;30),"中度拥堵",AND(G109&gt;=0,G109&lt;20),"严重拥堵"),F109=80,_xlfn.IFS(G109&gt;=45,"畅通",AND(G109&gt;=30,G109&lt;45),"轻度拥堵",AND(G109&gt;=20,G109&lt;30),"中度拥堵",AND(G109&gt;=0,G109&lt;20),"严重拥堵")),_xlfn.IFS(F109&lt;60,_xlfn.IFS(G109&gt;=40,"畅通",AND(G109&gt;=30,G109&lt;40),"轻度拥堵",AND(G109&gt;=20,G109&lt;30),"中度拥堵",AND(G109&gt;=0,G109&lt;20),"严重拥堵"),F109=60,_xlfn.IFS(G109&gt;=40,"畅通",AND(G109&gt;=30,G109&lt;40),"轻度拥堵",AND(G109&gt;=20,G109&lt;30),"中度拥堵",AND(G109&gt;=0,G109&lt;20),"严重拥堵"),F109=70,_xlfn.IFS(G109&gt;=45,"畅通",AND(G109&gt;=20,G109&lt;25),"轻度拥堵",AND(G109&gt;=10,G109&lt;20),"中度拥堵",AND(G109&gt;=0,G109&lt;10),"严重拥堵"),F109=80,_xlfn.IFS(G109&gt;=50,"畅通",AND(G109&gt;=35,G109&lt;50),"轻度拥堵",AND(G109&gt;=20,G109&lt;35),"中度拥堵",AND(G109&gt;=0,G109&lt;20),"严重拥堵"),F109=90,_xlfn.IFS(G109&gt;=55,"畅通",AND(G109&gt;=35,G109&lt;55),"轻度拥堵",AND(G109&gt;=20,G109&lt;35),"中度拥堵",AND(G109&gt;=0,G109&lt;20),"严重拥堵"),F109=100,_xlfn.IFS(G109&gt;=60,"畅通",AND(G109&gt;=40,G109&lt;60),"轻度拥堵",AND(G109&gt;=20,G109&lt;40),"中度拥堵",AND(G109&gt;=0,G109&lt;20),"严重拥堵"),F109=110,_xlfn.IFS(G109&gt;=65,"畅通",AND(G109&gt;=45,G109&lt;65),"轻度拥堵",AND(G109&gt;=25,G109&lt;45),"中度拥堵",AND(G109&gt;=0,G109&lt;25),"严重拥堵"),F109=120,_xlfn.IFS(G109&gt;=70,"畅通",AND(G109&gt;=50,G109&lt;70),"轻度拥堵",AND(G109&gt;=30,G109&lt;50),"中度拥堵",AND(G109&gt;=0,G109&lt;30),"严重拥堵")))</f>
        <v>严重拥堵</v>
      </c>
    </row>
    <row r="110" spans="1:8" x14ac:dyDescent="0.2">
      <c r="A110">
        <v>109</v>
      </c>
      <c r="B110" t="str" cm="1">
        <f t="array" aca="1" ref="B110" ca="1">INDIRECT("s"&amp;RANDBETWEEN(22,23))</f>
        <v>次干路</v>
      </c>
      <c r="C110">
        <f ca="1">RANDBETWEEN(78,182)</f>
        <v>107</v>
      </c>
      <c r="D110">
        <f ca="1">RANDBETWEEN(5,30)/10</f>
        <v>2.5</v>
      </c>
      <c r="E110">
        <f t="shared" ca="1" si="22"/>
        <v>4.6900000000000004</v>
      </c>
      <c r="F110" cm="1">
        <f t="array" aca="1" ref="F110" ca="1">INDIRECT("q"&amp;RANDBETWEEN(20,38))</f>
        <v>60</v>
      </c>
      <c r="G110">
        <f t="shared" ca="1" si="23"/>
        <v>57</v>
      </c>
      <c r="H110" t="str" cm="1">
        <f t="array" aca="1" ref="H110" ca="1">IF(OR(B110="主干路",B110="次干路"),_xlfn.IFS(F110=40,_xlfn.IFS(G110&gt;=25,"畅通",AND(G110&gt;=20,G110&lt;25),"轻度拥堵",AND(G110&gt;=15,G110&lt;20),"中度拥堵",AND(G110&gt;=0,G110&lt;15),"严重拥堵"),F110&lt;40,_xlfn.IFS(G110&gt;=25,"畅通",AND(G110&gt;=20,G110&lt;25),"轻度拥堵",AND(G110&gt;=10,G110&lt;20),"中度拥堵",AND(G110&gt;=0,G110&lt;10),"严重拥堵"),F110=50,_xlfn.IFS(G110&gt;=30,"畅通",AND(G110&gt;=25,G110&lt;30),"轻度拥堵",AND(G110&gt;=15,G110&lt;25),"中度拥堵",AND(G110&gt;=0,G110&lt;15),"严重拥堵"),F110=60,_xlfn.IFS(G110&gt;=35,"畅通",AND(G110&gt;=30,G110&lt;35),"轻度拥堵",AND(G110&gt;=20,G110&lt;30),"中度拥堵",AND(G110&gt;=0,G110&lt;20),"严重拥堵"),F110=70,_xlfn.IFS(G110&gt;=40,"畅通",AND(G110&gt;=30,G110&lt;40),"轻度拥堵",AND(G110&gt;=20,G110&lt;30),"中度拥堵",AND(G110&gt;=0,G110&lt;20),"严重拥堵"),F110=80,_xlfn.IFS(G110&gt;=45,"畅通",AND(G110&gt;=30,G110&lt;45),"轻度拥堵",AND(G110&gt;=20,G110&lt;30),"中度拥堵",AND(G110&gt;=0,G110&lt;20),"严重拥堵")),_xlfn.IFS(F110&lt;60,_xlfn.IFS(G110&gt;=40,"畅通",AND(G110&gt;=30,G110&lt;40),"轻度拥堵",AND(G110&gt;=20,G110&lt;30),"中度拥堵",AND(G110&gt;=0,G110&lt;20),"严重拥堵"),F110=60,_xlfn.IFS(G110&gt;=40,"畅通",AND(G110&gt;=30,G110&lt;40),"轻度拥堵",AND(G110&gt;=20,G110&lt;30),"中度拥堵",AND(G110&gt;=0,G110&lt;20),"严重拥堵"),F110=70,_xlfn.IFS(G110&gt;=45,"畅通",AND(G110&gt;=20,G110&lt;25),"轻度拥堵",AND(G110&gt;=10,G110&lt;20),"中度拥堵",AND(G110&gt;=0,G110&lt;10),"严重拥堵"),F110=80,_xlfn.IFS(G110&gt;=50,"畅通",AND(G110&gt;=35,G110&lt;50),"轻度拥堵",AND(G110&gt;=20,G110&lt;35),"中度拥堵",AND(G110&gt;=0,G110&lt;20),"严重拥堵"),F110=90,_xlfn.IFS(G110&gt;=55,"畅通",AND(G110&gt;=35,G110&lt;55),"轻度拥堵",AND(G110&gt;=20,G110&lt;35),"中度拥堵",AND(G110&gt;=0,G110&lt;20),"严重拥堵"),F110=100,_xlfn.IFS(G110&gt;=60,"畅通",AND(G110&gt;=40,G110&lt;60),"轻度拥堵",AND(G110&gt;=20,G110&lt;40),"中度拥堵",AND(G110&gt;=0,G110&lt;20),"严重拥堵"),F110=110,_xlfn.IFS(G110&gt;=65,"畅通",AND(G110&gt;=45,G110&lt;65),"轻度拥堵",AND(G110&gt;=25,G110&lt;45),"中度拥堵",AND(G110&gt;=0,G110&lt;25),"严重拥堵"),F110=120,_xlfn.IFS(G110&gt;=70,"畅通",AND(G110&gt;=50,G110&lt;70),"轻度拥堵",AND(G110&gt;=30,G110&lt;50),"中度拥堵",AND(G110&gt;=0,G110&lt;30),"严重拥堵")))</f>
        <v>畅通</v>
      </c>
    </row>
    <row r="111" spans="1:8" x14ac:dyDescent="0.2">
      <c r="A111">
        <v>110</v>
      </c>
      <c r="B111" t="str" cm="1">
        <f t="array" aca="1" ref="B111" ca="1">INDIRECT("s"&amp;RANDBETWEEN(22,23))</f>
        <v>主干路</v>
      </c>
      <c r="C111">
        <f ca="1">RANDBETWEEN(78,182)</f>
        <v>96</v>
      </c>
      <c r="D111">
        <f ca="1">RANDBETWEEN(5,30)/10</f>
        <v>1.4</v>
      </c>
      <c r="E111">
        <f t="shared" ca="1" si="22"/>
        <v>7.47</v>
      </c>
      <c r="F111" cm="1">
        <f t="array" aca="1" ref="F111" ca="1">INDIRECT("q"&amp;RANDBETWEEN(20,38))</f>
        <v>80</v>
      </c>
      <c r="G111">
        <f t="shared" ca="1" si="23"/>
        <v>18</v>
      </c>
      <c r="H111" t="str" cm="1">
        <f t="array" aca="1" ref="H111" ca="1">IF(OR(B111="主干路",B111="次干路"),_xlfn.IFS(F111=40,_xlfn.IFS(G111&gt;=25,"畅通",AND(G111&gt;=20,G111&lt;25),"轻度拥堵",AND(G111&gt;=15,G111&lt;20),"中度拥堵",AND(G111&gt;=0,G111&lt;15),"严重拥堵"),F111&lt;40,_xlfn.IFS(G111&gt;=25,"畅通",AND(G111&gt;=20,G111&lt;25),"轻度拥堵",AND(G111&gt;=10,G111&lt;20),"中度拥堵",AND(G111&gt;=0,G111&lt;10),"严重拥堵"),F111=50,_xlfn.IFS(G111&gt;=30,"畅通",AND(G111&gt;=25,G111&lt;30),"轻度拥堵",AND(G111&gt;=15,G111&lt;25),"中度拥堵",AND(G111&gt;=0,G111&lt;15),"严重拥堵"),F111=60,_xlfn.IFS(G111&gt;=35,"畅通",AND(G111&gt;=30,G111&lt;35),"轻度拥堵",AND(G111&gt;=20,G111&lt;30),"中度拥堵",AND(G111&gt;=0,G111&lt;20),"严重拥堵"),F111=70,_xlfn.IFS(G111&gt;=40,"畅通",AND(G111&gt;=30,G111&lt;40),"轻度拥堵",AND(G111&gt;=20,G111&lt;30),"中度拥堵",AND(G111&gt;=0,G111&lt;20),"严重拥堵"),F111=80,_xlfn.IFS(G111&gt;=45,"畅通",AND(G111&gt;=30,G111&lt;45),"轻度拥堵",AND(G111&gt;=20,G111&lt;30),"中度拥堵",AND(G111&gt;=0,G111&lt;20),"严重拥堵")),_xlfn.IFS(F111&lt;60,_xlfn.IFS(G111&gt;=40,"畅通",AND(G111&gt;=30,G111&lt;40),"轻度拥堵",AND(G111&gt;=20,G111&lt;30),"中度拥堵",AND(G111&gt;=0,G111&lt;20),"严重拥堵"),F111=60,_xlfn.IFS(G111&gt;=40,"畅通",AND(G111&gt;=30,G111&lt;40),"轻度拥堵",AND(G111&gt;=20,G111&lt;30),"中度拥堵",AND(G111&gt;=0,G111&lt;20),"严重拥堵"),F111=70,_xlfn.IFS(G111&gt;=45,"畅通",AND(G111&gt;=20,G111&lt;25),"轻度拥堵",AND(G111&gt;=10,G111&lt;20),"中度拥堵",AND(G111&gt;=0,G111&lt;10),"严重拥堵"),F111=80,_xlfn.IFS(G111&gt;=50,"畅通",AND(G111&gt;=35,G111&lt;50),"轻度拥堵",AND(G111&gt;=20,G111&lt;35),"中度拥堵",AND(G111&gt;=0,G111&lt;20),"严重拥堵"),F111=90,_xlfn.IFS(G111&gt;=55,"畅通",AND(G111&gt;=35,G111&lt;55),"轻度拥堵",AND(G111&gt;=20,G111&lt;35),"中度拥堵",AND(G111&gt;=0,G111&lt;20),"严重拥堵"),F111=100,_xlfn.IFS(G111&gt;=60,"畅通",AND(G111&gt;=40,G111&lt;60),"轻度拥堵",AND(G111&gt;=20,G111&lt;40),"中度拥堵",AND(G111&gt;=0,G111&lt;20),"严重拥堵"),F111=110,_xlfn.IFS(G111&gt;=65,"畅通",AND(G111&gt;=45,G111&lt;65),"轻度拥堵",AND(G111&gt;=25,G111&lt;45),"中度拥堵",AND(G111&gt;=0,G111&lt;25),"严重拥堵"),F111=120,_xlfn.IFS(G111&gt;=70,"畅通",AND(G111&gt;=50,G111&lt;70),"轻度拥堵",AND(G111&gt;=30,G111&lt;50),"中度拥堵",AND(G111&gt;=0,G111&lt;30),"严重拥堵")))</f>
        <v>严重拥堵</v>
      </c>
    </row>
    <row r="112" spans="1:8" x14ac:dyDescent="0.2">
      <c r="A112">
        <v>111</v>
      </c>
      <c r="B112" t="str" cm="1">
        <f t="array" aca="1" ref="B112" ca="1">INDIRECT("r"&amp;RANDBETWEEN(22,23))</f>
        <v>公路</v>
      </c>
      <c r="C112">
        <f t="shared" ref="C112:C120" ca="1" si="24">RANDBETWEEN(145,482)</f>
        <v>172</v>
      </c>
      <c r="D112">
        <f t="shared" ref="D112:D120" ca="1" si="25">RANDBETWEEN(20,50)/10</f>
        <v>3.3</v>
      </c>
      <c r="E112">
        <f t="shared" ca="1" si="22"/>
        <v>27.03</v>
      </c>
      <c r="F112" cm="1">
        <f t="array" aca="1" ref="F112" ca="1">INDIRECT("p"&amp;RANDBETWEEN(20,39))</f>
        <v>100</v>
      </c>
      <c r="G112">
        <f t="shared" ca="1" si="23"/>
        <v>21</v>
      </c>
      <c r="H112" t="str" cm="1">
        <f t="array" aca="1" ref="H112" ca="1">IF(OR(B112="主干路",B112="次干路"),_xlfn.IFS(F112=40,_xlfn.IFS(G112&gt;=25,"畅通",AND(G112&gt;=20,G112&lt;25),"轻度拥堵",AND(G112&gt;=15,G112&lt;20),"中度拥堵",AND(G112&gt;=0,G112&lt;15),"严重拥堵"),F112&lt;40,_xlfn.IFS(G112&gt;=25,"畅通",AND(G112&gt;=20,G112&lt;25),"轻度拥堵",AND(G112&gt;=10,G112&lt;20),"中度拥堵",AND(G112&gt;=0,G112&lt;10),"严重拥堵"),F112=50,_xlfn.IFS(G112&gt;=30,"畅通",AND(G112&gt;=25,G112&lt;30),"轻度拥堵",AND(G112&gt;=15,G112&lt;25),"中度拥堵",AND(G112&gt;=0,G112&lt;15),"严重拥堵"),F112=60,_xlfn.IFS(G112&gt;=35,"畅通",AND(G112&gt;=30,G112&lt;35),"轻度拥堵",AND(G112&gt;=20,G112&lt;30),"中度拥堵",AND(G112&gt;=0,G112&lt;20),"严重拥堵"),F112=70,_xlfn.IFS(G112&gt;=40,"畅通",AND(G112&gt;=30,G112&lt;40),"轻度拥堵",AND(G112&gt;=20,G112&lt;30),"中度拥堵",AND(G112&gt;=0,G112&lt;20),"严重拥堵"),F112=80,_xlfn.IFS(G112&gt;=45,"畅通",AND(G112&gt;=30,G112&lt;45),"轻度拥堵",AND(G112&gt;=20,G112&lt;30),"中度拥堵",AND(G112&gt;=0,G112&lt;20),"严重拥堵")),_xlfn.IFS(F112&lt;60,_xlfn.IFS(G112&gt;=40,"畅通",AND(G112&gt;=30,G112&lt;40),"轻度拥堵",AND(G112&gt;=20,G112&lt;30),"中度拥堵",AND(G112&gt;=0,G112&lt;20),"严重拥堵"),F112=60,_xlfn.IFS(G112&gt;=40,"畅通",AND(G112&gt;=30,G112&lt;40),"轻度拥堵",AND(G112&gt;=20,G112&lt;30),"中度拥堵",AND(G112&gt;=0,G112&lt;20),"严重拥堵"),F112=70,_xlfn.IFS(G112&gt;=45,"畅通",AND(G112&gt;=30,G112&lt;45),"轻度拥堵",AND(G112&gt;=20,G112&lt;30),"中度拥堵",AND(G112&gt;=0,G112&lt;20),"严重拥堵"),F112=80,_xlfn.IFS(G112&gt;=50,"畅通",AND(G112&gt;=35,G112&lt;50),"轻度拥堵",AND(G112&gt;=20,G112&lt;35),"中度拥堵",AND(G112&gt;=0,G112&lt;20),"严重拥堵"),F112=90,_xlfn.IFS(G112&gt;=55,"畅通",AND(G112&gt;=35,G112&lt;55),"轻度拥堵",AND(G112&gt;=20,G112&lt;35),"中度拥堵",AND(G112&gt;=0,G112&lt;20),"严重拥堵"),F112=100,_xlfn.IFS(G112&gt;=60,"畅通",AND(G112&gt;=40,G112&lt;60),"轻度拥堵",AND(G112&gt;=20,G112&lt;40),"中度拥堵",AND(G112&gt;=0,G112&lt;20),"严重拥堵"),F112=110,_xlfn.IFS(G112&gt;=65,"畅通",AND(G112&gt;=45,G112&lt;65),"轻度拥堵",AND(G112&gt;=25,G112&lt;45),"中度拥堵",AND(G112&gt;=0,G112&lt;25),"严重拥堵"),F112=120,_xlfn.IFS(G112&gt;=70,"畅通",AND(G112&gt;=50,G112&lt;70),"轻度拥堵",AND(G112&gt;=30,G112&lt;50),"中度拥堵",AND(G112&gt;=0,G112&lt;30),"严重拥堵")))</f>
        <v>中度拥堵</v>
      </c>
    </row>
    <row r="113" spans="1:8" x14ac:dyDescent="0.2">
      <c r="A113">
        <v>112</v>
      </c>
      <c r="B113" t="str" cm="1">
        <f t="array" aca="1" ref="B113" ca="1">INDIRECT("r"&amp;RANDBETWEEN(22,23))</f>
        <v>公路</v>
      </c>
      <c r="C113">
        <f t="shared" ca="1" si="24"/>
        <v>230</v>
      </c>
      <c r="D113">
        <f t="shared" ca="1" si="25"/>
        <v>4.2</v>
      </c>
      <c r="E113">
        <f t="shared" ca="1" si="22"/>
        <v>12.38</v>
      </c>
      <c r="F113" cm="1">
        <f t="array" aca="1" ref="F113" ca="1">INDIRECT("p"&amp;RANDBETWEEN(20,39))</f>
        <v>80</v>
      </c>
      <c r="G113">
        <f t="shared" ca="1" si="23"/>
        <v>78</v>
      </c>
      <c r="H113" t="str" cm="1">
        <f t="array" aca="1" ref="H113" ca="1">IF(OR(B113="主干路",B113="次干路"),_xlfn.IFS(F113=40,_xlfn.IFS(G113&gt;=25,"畅通",AND(G113&gt;=20,G113&lt;25),"轻度拥堵",AND(G113&gt;=15,G113&lt;20),"中度拥堵",AND(G113&gt;=0,G113&lt;15),"严重拥堵"),F113&lt;40,_xlfn.IFS(G113&gt;=25,"畅通",AND(G113&gt;=20,G113&lt;25),"轻度拥堵",AND(G113&gt;=10,G113&lt;20),"中度拥堵",AND(G113&gt;=0,G113&lt;10),"严重拥堵"),F113=50,_xlfn.IFS(G113&gt;=30,"畅通",AND(G113&gt;=25,G113&lt;30),"轻度拥堵",AND(G113&gt;=15,G113&lt;25),"中度拥堵",AND(G113&gt;=0,G113&lt;15),"严重拥堵"),F113=60,_xlfn.IFS(G113&gt;=35,"畅通",AND(G113&gt;=30,G113&lt;35),"轻度拥堵",AND(G113&gt;=20,G113&lt;30),"中度拥堵",AND(G113&gt;=0,G113&lt;20),"严重拥堵"),F113=70,_xlfn.IFS(G113&gt;=40,"畅通",AND(G113&gt;=30,G113&lt;40),"轻度拥堵",AND(G113&gt;=20,G113&lt;30),"中度拥堵",AND(G113&gt;=0,G113&lt;20),"严重拥堵"),F113=80,_xlfn.IFS(G113&gt;=45,"畅通",AND(G113&gt;=30,G113&lt;45),"轻度拥堵",AND(G113&gt;=20,G113&lt;30),"中度拥堵",AND(G113&gt;=0,G113&lt;20),"严重拥堵")),_xlfn.IFS(F113&lt;60,_xlfn.IFS(G113&gt;=40,"畅通",AND(G113&gt;=30,G113&lt;40),"轻度拥堵",AND(G113&gt;=20,G113&lt;30),"中度拥堵",AND(G113&gt;=0,G113&lt;20),"严重拥堵"),F113=60,_xlfn.IFS(G113&gt;=40,"畅通",AND(G113&gt;=30,G113&lt;40),"轻度拥堵",AND(G113&gt;=20,G113&lt;30),"中度拥堵",AND(G113&gt;=0,G113&lt;20),"严重拥堵"),F113=70,_xlfn.IFS(G113&gt;=45,"畅通",AND(G113&gt;=30,G113&lt;45),"轻度拥堵",AND(G113&gt;=20,G113&lt;30),"中度拥堵",AND(G113&gt;=0,G113&lt;20),"严重拥堵"),F113=80,_xlfn.IFS(G113&gt;=50,"畅通",AND(G113&gt;=35,G113&lt;50),"轻度拥堵",AND(G113&gt;=20,G113&lt;35),"中度拥堵",AND(G113&gt;=0,G113&lt;20),"严重拥堵"),F113=90,_xlfn.IFS(G113&gt;=55,"畅通",AND(G113&gt;=35,G113&lt;55),"轻度拥堵",AND(G113&gt;=20,G113&lt;35),"中度拥堵",AND(G113&gt;=0,G113&lt;20),"严重拥堵"),F113=100,_xlfn.IFS(G113&gt;=60,"畅通",AND(G113&gt;=40,G113&lt;60),"轻度拥堵",AND(G113&gt;=20,G113&lt;40),"中度拥堵",AND(G113&gt;=0,G113&lt;20),"严重拥堵"),F113=110,_xlfn.IFS(G113&gt;=65,"畅通",AND(G113&gt;=45,G113&lt;65),"轻度拥堵",AND(G113&gt;=25,G113&lt;45),"中度拥堵",AND(G113&gt;=0,G113&lt;25),"严重拥堵"),F113=120,_xlfn.IFS(G113&gt;=70,"畅通",AND(G113&gt;=50,G113&lt;70),"轻度拥堵",AND(G113&gt;=30,G113&lt;50),"中度拥堵",AND(G113&gt;=0,G113&lt;30),"严重拥堵")))</f>
        <v>畅通</v>
      </c>
    </row>
    <row r="114" spans="1:8" x14ac:dyDescent="0.2">
      <c r="A114">
        <v>113</v>
      </c>
      <c r="B114" t="str" cm="1">
        <f t="array" aca="1" ref="B114" ca="1">INDIRECT("r"&amp;RANDBETWEEN(22,23))</f>
        <v>城市快速路</v>
      </c>
      <c r="C114">
        <f t="shared" ca="1" si="24"/>
        <v>248</v>
      </c>
      <c r="D114">
        <f t="shared" ca="1" si="25"/>
        <v>4.4000000000000004</v>
      </c>
      <c r="E114">
        <f t="shared" ca="1" si="22"/>
        <v>45.47</v>
      </c>
      <c r="F114" cm="1">
        <f t="array" aca="1" ref="F114" ca="1">INDIRECT("p"&amp;RANDBETWEEN(20,39))</f>
        <v>60</v>
      </c>
      <c r="G114">
        <f t="shared" ca="1" si="23"/>
        <v>24</v>
      </c>
      <c r="H114" t="str" cm="1">
        <f t="array" aca="1" ref="H114" ca="1">IF(OR(B114="主干路",B114="次干路"),_xlfn.IFS(F114=40,_xlfn.IFS(G114&gt;=25,"畅通",AND(G114&gt;=20,G114&lt;25),"轻度拥堵",AND(G114&gt;=15,G114&lt;20),"中度拥堵",AND(G114&gt;=0,G114&lt;15),"严重拥堵"),F114&lt;40,_xlfn.IFS(G114&gt;=25,"畅通",AND(G114&gt;=20,G114&lt;25),"轻度拥堵",AND(G114&gt;=10,G114&lt;20),"中度拥堵",AND(G114&gt;=0,G114&lt;10),"严重拥堵"),F114=50,_xlfn.IFS(G114&gt;=30,"畅通",AND(G114&gt;=25,G114&lt;30),"轻度拥堵",AND(G114&gt;=15,G114&lt;25),"中度拥堵",AND(G114&gt;=0,G114&lt;15),"严重拥堵"),F114=60,_xlfn.IFS(G114&gt;=35,"畅通",AND(G114&gt;=30,G114&lt;35),"轻度拥堵",AND(G114&gt;=20,G114&lt;30),"中度拥堵",AND(G114&gt;=0,G114&lt;20),"严重拥堵"),F114=70,_xlfn.IFS(G114&gt;=40,"畅通",AND(G114&gt;=30,G114&lt;40),"轻度拥堵",AND(G114&gt;=20,G114&lt;30),"中度拥堵",AND(G114&gt;=0,G114&lt;20),"严重拥堵"),F114=80,_xlfn.IFS(G114&gt;=45,"畅通",AND(G114&gt;=30,G114&lt;45),"轻度拥堵",AND(G114&gt;=20,G114&lt;30),"中度拥堵",AND(G114&gt;=0,G114&lt;20),"严重拥堵")),_xlfn.IFS(F114&lt;60,_xlfn.IFS(G114&gt;=40,"畅通",AND(G114&gt;=30,G114&lt;40),"轻度拥堵",AND(G114&gt;=20,G114&lt;30),"中度拥堵",AND(G114&gt;=0,G114&lt;20),"严重拥堵"),F114=60,_xlfn.IFS(G114&gt;=40,"畅通",AND(G114&gt;=30,G114&lt;40),"轻度拥堵",AND(G114&gt;=20,G114&lt;30),"中度拥堵",AND(G114&gt;=0,G114&lt;20),"严重拥堵"),F114=70,_xlfn.IFS(G114&gt;=45,"畅通",AND(G114&gt;=30,G114&lt;45),"轻度拥堵",AND(G114&gt;=20,G114&lt;30),"中度拥堵",AND(G114&gt;=0,G114&lt;20),"严重拥堵"),F114=80,_xlfn.IFS(G114&gt;=50,"畅通",AND(G114&gt;=35,G114&lt;50),"轻度拥堵",AND(G114&gt;=20,G114&lt;35),"中度拥堵",AND(G114&gt;=0,G114&lt;20),"严重拥堵"),F114=90,_xlfn.IFS(G114&gt;=55,"畅通",AND(G114&gt;=35,G114&lt;55),"轻度拥堵",AND(G114&gt;=20,G114&lt;35),"中度拥堵",AND(G114&gt;=0,G114&lt;20),"严重拥堵"),F114=100,_xlfn.IFS(G114&gt;=60,"畅通",AND(G114&gt;=40,G114&lt;60),"轻度拥堵",AND(G114&gt;=20,G114&lt;40),"中度拥堵",AND(G114&gt;=0,G114&lt;20),"严重拥堵"),F114=110,_xlfn.IFS(G114&gt;=65,"畅通",AND(G114&gt;=45,G114&lt;65),"轻度拥堵",AND(G114&gt;=25,G114&lt;45),"中度拥堵",AND(G114&gt;=0,G114&lt;25),"严重拥堵"),F114=120,_xlfn.IFS(G114&gt;=70,"畅通",AND(G114&gt;=50,G114&lt;70),"轻度拥堵",AND(G114&gt;=30,G114&lt;50),"中度拥堵",AND(G114&gt;=0,G114&lt;30),"严重拥堵")))</f>
        <v>中度拥堵</v>
      </c>
    </row>
    <row r="115" spans="1:8" x14ac:dyDescent="0.2">
      <c r="A115">
        <v>114</v>
      </c>
      <c r="B115" t="str" cm="1">
        <f t="array" aca="1" ref="B115" ca="1">INDIRECT("r"&amp;RANDBETWEEN(22,23))</f>
        <v>城市快速路</v>
      </c>
      <c r="C115">
        <f t="shared" ca="1" si="24"/>
        <v>402</v>
      </c>
      <c r="D115">
        <f t="shared" ca="1" si="25"/>
        <v>2.6</v>
      </c>
      <c r="E115">
        <f t="shared" ca="1" si="22"/>
        <v>52.26</v>
      </c>
      <c r="F115" cm="1">
        <f t="array" aca="1" ref="F115" ca="1">INDIRECT("p"&amp;RANDBETWEEN(20,39))</f>
        <v>60</v>
      </c>
      <c r="G115">
        <f t="shared" ca="1" si="23"/>
        <v>20</v>
      </c>
      <c r="H115" t="str" cm="1">
        <f t="array" aca="1" ref="H115" ca="1">IF(OR(B115="主干路",B115="次干路"),_xlfn.IFS(F115=40,_xlfn.IFS(G115&gt;=25,"畅通",AND(G115&gt;=20,G115&lt;25),"轻度拥堵",AND(G115&gt;=15,G115&lt;20),"中度拥堵",AND(G115&gt;=0,G115&lt;15),"严重拥堵"),F115&lt;40,_xlfn.IFS(G115&gt;=25,"畅通",AND(G115&gt;=20,G115&lt;25),"轻度拥堵",AND(G115&gt;=10,G115&lt;20),"中度拥堵",AND(G115&gt;=0,G115&lt;10),"严重拥堵"),F115=50,_xlfn.IFS(G115&gt;=30,"畅通",AND(G115&gt;=25,G115&lt;30),"轻度拥堵",AND(G115&gt;=15,G115&lt;25),"中度拥堵",AND(G115&gt;=0,G115&lt;15),"严重拥堵"),F115=60,_xlfn.IFS(G115&gt;=35,"畅通",AND(G115&gt;=30,G115&lt;35),"轻度拥堵",AND(G115&gt;=20,G115&lt;30),"中度拥堵",AND(G115&gt;=0,G115&lt;20),"严重拥堵"),F115=70,_xlfn.IFS(G115&gt;=40,"畅通",AND(G115&gt;=30,G115&lt;40),"轻度拥堵",AND(G115&gt;=20,G115&lt;30),"中度拥堵",AND(G115&gt;=0,G115&lt;20),"严重拥堵"),F115=80,_xlfn.IFS(G115&gt;=45,"畅通",AND(G115&gt;=30,G115&lt;45),"轻度拥堵",AND(G115&gt;=20,G115&lt;30),"中度拥堵",AND(G115&gt;=0,G115&lt;20),"严重拥堵")),_xlfn.IFS(F115&lt;60,_xlfn.IFS(G115&gt;=40,"畅通",AND(G115&gt;=30,G115&lt;40),"轻度拥堵",AND(G115&gt;=20,G115&lt;30),"中度拥堵",AND(G115&gt;=0,G115&lt;20),"严重拥堵"),F115=60,_xlfn.IFS(G115&gt;=40,"畅通",AND(G115&gt;=30,G115&lt;40),"轻度拥堵",AND(G115&gt;=20,G115&lt;30),"中度拥堵",AND(G115&gt;=0,G115&lt;20),"严重拥堵"),F115=70,_xlfn.IFS(G115&gt;=45,"畅通",AND(G115&gt;=30,G115&lt;45),"轻度拥堵",AND(G115&gt;=20,G115&lt;30),"中度拥堵",AND(G115&gt;=0,G115&lt;20),"严重拥堵"),F115=80,_xlfn.IFS(G115&gt;=50,"畅通",AND(G115&gt;=35,G115&lt;50),"轻度拥堵",AND(G115&gt;=20,G115&lt;35),"中度拥堵",AND(G115&gt;=0,G115&lt;20),"严重拥堵"),F115=90,_xlfn.IFS(G115&gt;=55,"畅通",AND(G115&gt;=35,G115&lt;55),"轻度拥堵",AND(G115&gt;=20,G115&lt;35),"中度拥堵",AND(G115&gt;=0,G115&lt;20),"严重拥堵"),F115=100,_xlfn.IFS(G115&gt;=60,"畅通",AND(G115&gt;=40,G115&lt;60),"轻度拥堵",AND(G115&gt;=20,G115&lt;40),"中度拥堵",AND(G115&gt;=0,G115&lt;20),"严重拥堵"),F115=110,_xlfn.IFS(G115&gt;=65,"畅通",AND(G115&gt;=45,G115&lt;65),"轻度拥堵",AND(G115&gt;=25,G115&lt;45),"中度拥堵",AND(G115&gt;=0,G115&lt;25),"严重拥堵"),F115=120,_xlfn.IFS(G115&gt;=70,"畅通",AND(G115&gt;=50,G115&lt;70),"轻度拥堵",AND(G115&gt;=30,G115&lt;50),"中度拥堵",AND(G115&gt;=0,G115&lt;30),"严重拥堵")))</f>
        <v>中度拥堵</v>
      </c>
    </row>
    <row r="116" spans="1:8" x14ac:dyDescent="0.2">
      <c r="A116">
        <v>115</v>
      </c>
      <c r="B116" t="str" cm="1">
        <f t="array" aca="1" ref="B116" ca="1">INDIRECT("r"&amp;RANDBETWEEN(22,23))</f>
        <v>城市快速路</v>
      </c>
      <c r="C116">
        <f t="shared" ca="1" si="24"/>
        <v>193</v>
      </c>
      <c r="D116">
        <f t="shared" ca="1" si="25"/>
        <v>2.7</v>
      </c>
      <c r="E116">
        <f t="shared" ca="1" si="22"/>
        <v>7.9</v>
      </c>
      <c r="F116" cm="1">
        <f t="array" aca="1" ref="F116" ca="1">INDIRECT("p"&amp;RANDBETWEEN(20,39))</f>
        <v>80</v>
      </c>
      <c r="G116">
        <f t="shared" ca="1" si="23"/>
        <v>66</v>
      </c>
      <c r="H116" t="str" cm="1">
        <f t="array" aca="1" ref="H116" ca="1">IF(OR(B116="主干路",B116="次干路"),_xlfn.IFS(F116=40,_xlfn.IFS(G116&gt;=25,"畅通",AND(G116&gt;=20,G116&lt;25),"轻度拥堵",AND(G116&gt;=15,G116&lt;20),"中度拥堵",AND(G116&gt;=0,G116&lt;15),"严重拥堵"),F116&lt;40,_xlfn.IFS(G116&gt;=25,"畅通",AND(G116&gt;=20,G116&lt;25),"轻度拥堵",AND(G116&gt;=10,G116&lt;20),"中度拥堵",AND(G116&gt;=0,G116&lt;10),"严重拥堵"),F116=50,_xlfn.IFS(G116&gt;=30,"畅通",AND(G116&gt;=25,G116&lt;30),"轻度拥堵",AND(G116&gt;=15,G116&lt;25),"中度拥堵",AND(G116&gt;=0,G116&lt;15),"严重拥堵"),F116=60,_xlfn.IFS(G116&gt;=35,"畅通",AND(G116&gt;=30,G116&lt;35),"轻度拥堵",AND(G116&gt;=20,G116&lt;30),"中度拥堵",AND(G116&gt;=0,G116&lt;20),"严重拥堵"),F116=70,_xlfn.IFS(G116&gt;=40,"畅通",AND(G116&gt;=30,G116&lt;40),"轻度拥堵",AND(G116&gt;=20,G116&lt;30),"中度拥堵",AND(G116&gt;=0,G116&lt;20),"严重拥堵"),F116=80,_xlfn.IFS(G116&gt;=45,"畅通",AND(G116&gt;=30,G116&lt;45),"轻度拥堵",AND(G116&gt;=20,G116&lt;30),"中度拥堵",AND(G116&gt;=0,G116&lt;20),"严重拥堵")),_xlfn.IFS(F116&lt;60,_xlfn.IFS(G116&gt;=40,"畅通",AND(G116&gt;=30,G116&lt;40),"轻度拥堵",AND(G116&gt;=20,G116&lt;30),"中度拥堵",AND(G116&gt;=0,G116&lt;20),"严重拥堵"),F116=60,_xlfn.IFS(G116&gt;=40,"畅通",AND(G116&gt;=30,G116&lt;40),"轻度拥堵",AND(G116&gt;=20,G116&lt;30),"中度拥堵",AND(G116&gt;=0,G116&lt;20),"严重拥堵"),F116=70,_xlfn.IFS(G116&gt;=45,"畅通",AND(G116&gt;=30,G116&lt;45),"轻度拥堵",AND(G116&gt;=20,G116&lt;30),"中度拥堵",AND(G116&gt;=0,G116&lt;20),"严重拥堵"),F116=80,_xlfn.IFS(G116&gt;=50,"畅通",AND(G116&gt;=35,G116&lt;50),"轻度拥堵",AND(G116&gt;=20,G116&lt;35),"中度拥堵",AND(G116&gt;=0,G116&lt;20),"严重拥堵"),F116=90,_xlfn.IFS(G116&gt;=55,"畅通",AND(G116&gt;=35,G116&lt;55),"轻度拥堵",AND(G116&gt;=20,G116&lt;35),"中度拥堵",AND(G116&gt;=0,G116&lt;20),"严重拥堵"),F116=100,_xlfn.IFS(G116&gt;=60,"畅通",AND(G116&gt;=40,G116&lt;60),"轻度拥堵",AND(G116&gt;=20,G116&lt;40),"中度拥堵",AND(G116&gt;=0,G116&lt;20),"严重拥堵"),F116=110,_xlfn.IFS(G116&gt;=65,"畅通",AND(G116&gt;=45,G116&lt;65),"轻度拥堵",AND(G116&gt;=25,G116&lt;45),"中度拥堵",AND(G116&gt;=0,G116&lt;25),"严重拥堵"),F116=120,_xlfn.IFS(G116&gt;=70,"畅通",AND(G116&gt;=50,G116&lt;70),"轻度拥堵",AND(G116&gt;=30,G116&lt;50),"中度拥堵",AND(G116&gt;=0,G116&lt;30),"严重拥堵")))</f>
        <v>畅通</v>
      </c>
    </row>
    <row r="117" spans="1:8" x14ac:dyDescent="0.2">
      <c r="A117">
        <v>116</v>
      </c>
      <c r="B117" t="str" cm="1">
        <f t="array" aca="1" ref="B117" ca="1">INDIRECT("r"&amp;RANDBETWEEN(22,23))</f>
        <v>公路</v>
      </c>
      <c r="C117">
        <f t="shared" ca="1" si="24"/>
        <v>350</v>
      </c>
      <c r="D117">
        <f t="shared" ca="1" si="25"/>
        <v>3.9</v>
      </c>
      <c r="E117">
        <f t="shared" ca="1" si="22"/>
        <v>20.68</v>
      </c>
      <c r="F117" cm="1">
        <f t="array" aca="1" ref="F117" ca="1">INDIRECT("p"&amp;RANDBETWEEN(20,39))</f>
        <v>80</v>
      </c>
      <c r="G117">
        <f t="shared" ca="1" si="23"/>
        <v>66</v>
      </c>
      <c r="H117" t="str" cm="1">
        <f t="array" aca="1" ref="H117" ca="1">IF(OR(B117="主干路",B117="次干路"),_xlfn.IFS(F117=40,_xlfn.IFS(G117&gt;=25,"畅通",AND(G117&gt;=20,G117&lt;25),"轻度拥堵",AND(G117&gt;=15,G117&lt;20),"中度拥堵",AND(G117&gt;=0,G117&lt;15),"严重拥堵"),F117&lt;40,_xlfn.IFS(G117&gt;=25,"畅通",AND(G117&gt;=20,G117&lt;25),"轻度拥堵",AND(G117&gt;=10,G117&lt;20),"中度拥堵",AND(G117&gt;=0,G117&lt;10),"严重拥堵"),F117=50,_xlfn.IFS(G117&gt;=30,"畅通",AND(G117&gt;=25,G117&lt;30),"轻度拥堵",AND(G117&gt;=15,G117&lt;25),"中度拥堵",AND(G117&gt;=0,G117&lt;15),"严重拥堵"),F117=60,_xlfn.IFS(G117&gt;=35,"畅通",AND(G117&gt;=30,G117&lt;35),"轻度拥堵",AND(G117&gt;=20,G117&lt;30),"中度拥堵",AND(G117&gt;=0,G117&lt;20),"严重拥堵"),F117=70,_xlfn.IFS(G117&gt;=40,"畅通",AND(G117&gt;=30,G117&lt;40),"轻度拥堵",AND(G117&gt;=20,G117&lt;30),"中度拥堵",AND(G117&gt;=0,G117&lt;20),"严重拥堵"),F117=80,_xlfn.IFS(G117&gt;=45,"畅通",AND(G117&gt;=30,G117&lt;45),"轻度拥堵",AND(G117&gt;=20,G117&lt;30),"中度拥堵",AND(G117&gt;=0,G117&lt;20),"严重拥堵")),_xlfn.IFS(F117&lt;60,_xlfn.IFS(G117&gt;=40,"畅通",AND(G117&gt;=30,G117&lt;40),"轻度拥堵",AND(G117&gt;=20,G117&lt;30),"中度拥堵",AND(G117&gt;=0,G117&lt;20),"严重拥堵"),F117=60,_xlfn.IFS(G117&gt;=40,"畅通",AND(G117&gt;=30,G117&lt;40),"轻度拥堵",AND(G117&gt;=20,G117&lt;30),"中度拥堵",AND(G117&gt;=0,G117&lt;20),"严重拥堵"),F117=70,_xlfn.IFS(G117&gt;=45,"畅通",AND(G117&gt;=30,G117&lt;45),"轻度拥堵",AND(G117&gt;=20,G117&lt;30),"中度拥堵",AND(G117&gt;=0,G117&lt;20),"严重拥堵"),F117=80,_xlfn.IFS(G117&gt;=50,"畅通",AND(G117&gt;=35,G117&lt;50),"轻度拥堵",AND(G117&gt;=20,G117&lt;35),"中度拥堵",AND(G117&gt;=0,G117&lt;20),"严重拥堵"),F117=90,_xlfn.IFS(G117&gt;=55,"畅通",AND(G117&gt;=35,G117&lt;55),"轻度拥堵",AND(G117&gt;=20,G117&lt;35),"中度拥堵",AND(G117&gt;=0,G117&lt;20),"严重拥堵"),F117=100,_xlfn.IFS(G117&gt;=60,"畅通",AND(G117&gt;=40,G117&lt;60),"轻度拥堵",AND(G117&gt;=20,G117&lt;40),"中度拥堵",AND(G117&gt;=0,G117&lt;20),"严重拥堵"),F117=110,_xlfn.IFS(G117&gt;=65,"畅通",AND(G117&gt;=45,G117&lt;65),"轻度拥堵",AND(G117&gt;=25,G117&lt;45),"中度拥堵",AND(G117&gt;=0,G117&lt;25),"严重拥堵"),F117=120,_xlfn.IFS(G117&gt;=70,"畅通",AND(G117&gt;=50,G117&lt;70),"轻度拥堵",AND(G117&gt;=30,G117&lt;50),"中度拥堵",AND(G117&gt;=0,G117&lt;30),"严重拥堵")))</f>
        <v>畅通</v>
      </c>
    </row>
    <row r="118" spans="1:8" x14ac:dyDescent="0.2">
      <c r="A118">
        <v>117</v>
      </c>
      <c r="B118" t="str" cm="1">
        <f t="array" aca="1" ref="B118" ca="1">INDIRECT("r"&amp;RANDBETWEEN(22,23))</f>
        <v>城市快速路</v>
      </c>
      <c r="C118">
        <f t="shared" ca="1" si="24"/>
        <v>145</v>
      </c>
      <c r="D118">
        <f t="shared" ca="1" si="25"/>
        <v>5</v>
      </c>
      <c r="E118">
        <f t="shared" ca="1" si="22"/>
        <v>18.13</v>
      </c>
      <c r="F118" cm="1">
        <f t="array" aca="1" ref="F118" ca="1">INDIRECT("p"&amp;RANDBETWEEN(20,39))</f>
        <v>80</v>
      </c>
      <c r="G118">
        <f t="shared" ca="1" si="23"/>
        <v>40</v>
      </c>
      <c r="H118" t="str" cm="1">
        <f t="array" aca="1" ref="H118" ca="1">IF(OR(B118="主干路",B118="次干路"),_xlfn.IFS(F118=40,_xlfn.IFS(G118&gt;=25,"畅通",AND(G118&gt;=20,G118&lt;25),"轻度拥堵",AND(G118&gt;=15,G118&lt;20),"中度拥堵",AND(G118&gt;=0,G118&lt;15),"严重拥堵"),F118&lt;40,_xlfn.IFS(G118&gt;=25,"畅通",AND(G118&gt;=20,G118&lt;25),"轻度拥堵",AND(G118&gt;=10,G118&lt;20),"中度拥堵",AND(G118&gt;=0,G118&lt;10),"严重拥堵"),F118=50,_xlfn.IFS(G118&gt;=30,"畅通",AND(G118&gt;=25,G118&lt;30),"轻度拥堵",AND(G118&gt;=15,G118&lt;25),"中度拥堵",AND(G118&gt;=0,G118&lt;15),"严重拥堵"),F118=60,_xlfn.IFS(G118&gt;=35,"畅通",AND(G118&gt;=30,G118&lt;35),"轻度拥堵",AND(G118&gt;=20,G118&lt;30),"中度拥堵",AND(G118&gt;=0,G118&lt;20),"严重拥堵"),F118=70,_xlfn.IFS(G118&gt;=40,"畅通",AND(G118&gt;=30,G118&lt;40),"轻度拥堵",AND(G118&gt;=20,G118&lt;30),"中度拥堵",AND(G118&gt;=0,G118&lt;20),"严重拥堵"),F118=80,_xlfn.IFS(G118&gt;=45,"畅通",AND(G118&gt;=30,G118&lt;45),"轻度拥堵",AND(G118&gt;=20,G118&lt;30),"中度拥堵",AND(G118&gt;=0,G118&lt;20),"严重拥堵")),_xlfn.IFS(F118&lt;60,_xlfn.IFS(G118&gt;=40,"畅通",AND(G118&gt;=30,G118&lt;40),"轻度拥堵",AND(G118&gt;=20,G118&lt;30),"中度拥堵",AND(G118&gt;=0,G118&lt;20),"严重拥堵"),F118=60,_xlfn.IFS(G118&gt;=40,"畅通",AND(G118&gt;=30,G118&lt;40),"轻度拥堵",AND(G118&gt;=20,G118&lt;30),"中度拥堵",AND(G118&gt;=0,G118&lt;20),"严重拥堵"),F118=70,_xlfn.IFS(G118&gt;=45,"畅通",AND(G118&gt;=30,G118&lt;45),"轻度拥堵",AND(G118&gt;=20,G118&lt;30),"中度拥堵",AND(G118&gt;=0,G118&lt;20),"严重拥堵"),F118=80,_xlfn.IFS(G118&gt;=50,"畅通",AND(G118&gt;=35,G118&lt;50),"轻度拥堵",AND(G118&gt;=20,G118&lt;35),"中度拥堵",AND(G118&gt;=0,G118&lt;20),"严重拥堵"),F118=90,_xlfn.IFS(G118&gt;=55,"畅通",AND(G118&gt;=35,G118&lt;55),"轻度拥堵",AND(G118&gt;=20,G118&lt;35),"中度拥堵",AND(G118&gt;=0,G118&lt;20),"严重拥堵"),F118=100,_xlfn.IFS(G118&gt;=60,"畅通",AND(G118&gt;=40,G118&lt;60),"轻度拥堵",AND(G118&gt;=20,G118&lt;40),"中度拥堵",AND(G118&gt;=0,G118&lt;20),"严重拥堵"),F118=110,_xlfn.IFS(G118&gt;=65,"畅通",AND(G118&gt;=45,G118&lt;65),"轻度拥堵",AND(G118&gt;=25,G118&lt;45),"中度拥堵",AND(G118&gt;=0,G118&lt;25),"严重拥堵"),F118=120,_xlfn.IFS(G118&gt;=70,"畅通",AND(G118&gt;=50,G118&lt;70),"轻度拥堵",AND(G118&gt;=30,G118&lt;50),"中度拥堵",AND(G118&gt;=0,G118&lt;30),"严重拥堵")))</f>
        <v>轻度拥堵</v>
      </c>
    </row>
    <row r="119" spans="1:8" x14ac:dyDescent="0.2">
      <c r="A119">
        <v>118</v>
      </c>
      <c r="B119" t="str" cm="1">
        <f t="array" aca="1" ref="B119" ca="1">INDIRECT("r"&amp;RANDBETWEEN(22,23))</f>
        <v>城市快速路</v>
      </c>
      <c r="C119">
        <f t="shared" ca="1" si="24"/>
        <v>322</v>
      </c>
      <c r="D119">
        <f t="shared" ca="1" si="25"/>
        <v>4.9000000000000004</v>
      </c>
      <c r="E119">
        <f t="shared" ca="1" si="22"/>
        <v>52.59</v>
      </c>
      <c r="F119" cm="1">
        <f t="array" aca="1" ref="F119" ca="1">INDIRECT("p"&amp;RANDBETWEEN(20,39))</f>
        <v>90</v>
      </c>
      <c r="G119">
        <f t="shared" ca="1" si="23"/>
        <v>30</v>
      </c>
      <c r="H119" t="str" cm="1">
        <f t="array" aca="1" ref="H119" ca="1">IF(OR(B119="主干路",B119="次干路"),_xlfn.IFS(F119=40,_xlfn.IFS(G119&gt;=25,"畅通",AND(G119&gt;=20,G119&lt;25),"轻度拥堵",AND(G119&gt;=15,G119&lt;20),"中度拥堵",AND(G119&gt;=0,G119&lt;15),"严重拥堵"),F119&lt;40,_xlfn.IFS(G119&gt;=25,"畅通",AND(G119&gt;=20,G119&lt;25),"轻度拥堵",AND(G119&gt;=10,G119&lt;20),"中度拥堵",AND(G119&gt;=0,G119&lt;10),"严重拥堵"),F119=50,_xlfn.IFS(G119&gt;=30,"畅通",AND(G119&gt;=25,G119&lt;30),"轻度拥堵",AND(G119&gt;=15,G119&lt;25),"中度拥堵",AND(G119&gt;=0,G119&lt;15),"严重拥堵"),F119=60,_xlfn.IFS(G119&gt;=35,"畅通",AND(G119&gt;=30,G119&lt;35),"轻度拥堵",AND(G119&gt;=20,G119&lt;30),"中度拥堵",AND(G119&gt;=0,G119&lt;20),"严重拥堵"),F119=70,_xlfn.IFS(G119&gt;=40,"畅通",AND(G119&gt;=30,G119&lt;40),"轻度拥堵",AND(G119&gt;=20,G119&lt;30),"中度拥堵",AND(G119&gt;=0,G119&lt;20),"严重拥堵"),F119=80,_xlfn.IFS(G119&gt;=45,"畅通",AND(G119&gt;=30,G119&lt;45),"轻度拥堵",AND(G119&gt;=20,G119&lt;30),"中度拥堵",AND(G119&gt;=0,G119&lt;20),"严重拥堵")),_xlfn.IFS(F119&lt;60,_xlfn.IFS(G119&gt;=40,"畅通",AND(G119&gt;=30,G119&lt;40),"轻度拥堵",AND(G119&gt;=20,G119&lt;30),"中度拥堵",AND(G119&gt;=0,G119&lt;20),"严重拥堵"),F119=60,_xlfn.IFS(G119&gt;=40,"畅通",AND(G119&gt;=30,G119&lt;40),"轻度拥堵",AND(G119&gt;=20,G119&lt;30),"中度拥堵",AND(G119&gt;=0,G119&lt;20),"严重拥堵"),F119=70,_xlfn.IFS(G119&gt;=45,"畅通",AND(G119&gt;=30,G119&lt;45),"轻度拥堵",AND(G119&gt;=20,G119&lt;30),"中度拥堵",AND(G119&gt;=0,G119&lt;20),"严重拥堵"),F119=80,_xlfn.IFS(G119&gt;=50,"畅通",AND(G119&gt;=35,G119&lt;50),"轻度拥堵",AND(G119&gt;=20,G119&lt;35),"中度拥堵",AND(G119&gt;=0,G119&lt;20),"严重拥堵"),F119=90,_xlfn.IFS(G119&gt;=55,"畅通",AND(G119&gt;=35,G119&lt;55),"轻度拥堵",AND(G119&gt;=20,G119&lt;35),"中度拥堵",AND(G119&gt;=0,G119&lt;20),"严重拥堵"),F119=100,_xlfn.IFS(G119&gt;=60,"畅通",AND(G119&gt;=40,G119&lt;60),"轻度拥堵",AND(G119&gt;=20,G119&lt;40),"中度拥堵",AND(G119&gt;=0,G119&lt;20),"严重拥堵"),F119=110,_xlfn.IFS(G119&gt;=65,"畅通",AND(G119&gt;=45,G119&lt;65),"轻度拥堵",AND(G119&gt;=25,G119&lt;45),"中度拥堵",AND(G119&gt;=0,G119&lt;25),"严重拥堵"),F119=120,_xlfn.IFS(G119&gt;=70,"畅通",AND(G119&gt;=50,G119&lt;70),"轻度拥堵",AND(G119&gt;=30,G119&lt;50),"中度拥堵",AND(G119&gt;=0,G119&lt;30),"严重拥堵")))</f>
        <v>中度拥堵</v>
      </c>
    </row>
    <row r="120" spans="1:8" x14ac:dyDescent="0.2">
      <c r="A120">
        <v>119</v>
      </c>
      <c r="B120" t="str" cm="1">
        <f t="array" aca="1" ref="B120" ca="1">INDIRECT("r"&amp;RANDBETWEEN(22,23))</f>
        <v>公路</v>
      </c>
      <c r="C120">
        <f t="shared" ca="1" si="24"/>
        <v>420</v>
      </c>
      <c r="D120">
        <f t="shared" ca="1" si="25"/>
        <v>3.9</v>
      </c>
      <c r="E120">
        <f t="shared" ca="1" si="22"/>
        <v>56.48</v>
      </c>
      <c r="F120" cm="1">
        <f t="array" aca="1" ref="F120" ca="1">INDIRECT("p"&amp;RANDBETWEEN(20,39))</f>
        <v>100</v>
      </c>
      <c r="G120">
        <f t="shared" ca="1" si="23"/>
        <v>29</v>
      </c>
      <c r="H120" t="str" cm="1">
        <f t="array" aca="1" ref="H120" ca="1">IF(OR(B120="主干路",B120="次干路"),_xlfn.IFS(F120=40,_xlfn.IFS(G120&gt;=25,"畅通",AND(G120&gt;=20,G120&lt;25),"轻度拥堵",AND(G120&gt;=15,G120&lt;20),"中度拥堵",AND(G120&gt;=0,G120&lt;15),"严重拥堵"),F120&lt;40,_xlfn.IFS(G120&gt;=25,"畅通",AND(G120&gt;=20,G120&lt;25),"轻度拥堵",AND(G120&gt;=10,G120&lt;20),"中度拥堵",AND(G120&gt;=0,G120&lt;10),"严重拥堵"),F120=50,_xlfn.IFS(G120&gt;=30,"畅通",AND(G120&gt;=25,G120&lt;30),"轻度拥堵",AND(G120&gt;=15,G120&lt;25),"中度拥堵",AND(G120&gt;=0,G120&lt;15),"严重拥堵"),F120=60,_xlfn.IFS(G120&gt;=35,"畅通",AND(G120&gt;=30,G120&lt;35),"轻度拥堵",AND(G120&gt;=20,G120&lt;30),"中度拥堵",AND(G120&gt;=0,G120&lt;20),"严重拥堵"),F120=70,_xlfn.IFS(G120&gt;=40,"畅通",AND(G120&gt;=30,G120&lt;40),"轻度拥堵",AND(G120&gt;=20,G120&lt;30),"中度拥堵",AND(G120&gt;=0,G120&lt;20),"严重拥堵"),F120=80,_xlfn.IFS(G120&gt;=45,"畅通",AND(G120&gt;=30,G120&lt;45),"轻度拥堵",AND(G120&gt;=20,G120&lt;30),"中度拥堵",AND(G120&gt;=0,G120&lt;20),"严重拥堵")),_xlfn.IFS(F120&lt;60,_xlfn.IFS(G120&gt;=40,"畅通",AND(G120&gt;=30,G120&lt;40),"轻度拥堵",AND(G120&gt;=20,G120&lt;30),"中度拥堵",AND(G120&gt;=0,G120&lt;20),"严重拥堵"),F120=60,_xlfn.IFS(G120&gt;=40,"畅通",AND(G120&gt;=30,G120&lt;40),"轻度拥堵",AND(G120&gt;=20,G120&lt;30),"中度拥堵",AND(G120&gt;=0,G120&lt;20),"严重拥堵"),F120=70,_xlfn.IFS(G120&gt;=45,"畅通",AND(G120&gt;=30,G120&lt;45),"轻度拥堵",AND(G120&gt;=20,G120&lt;30),"中度拥堵",AND(G120&gt;=0,G120&lt;20),"严重拥堵"),F120=80,_xlfn.IFS(G120&gt;=50,"畅通",AND(G120&gt;=35,G120&lt;50),"轻度拥堵",AND(G120&gt;=20,G120&lt;35),"中度拥堵",AND(G120&gt;=0,G120&lt;20),"严重拥堵"),F120=90,_xlfn.IFS(G120&gt;=55,"畅通",AND(G120&gt;=35,G120&lt;55),"轻度拥堵",AND(G120&gt;=20,G120&lt;35),"中度拥堵",AND(G120&gt;=0,G120&lt;20),"严重拥堵"),F120=100,_xlfn.IFS(G120&gt;=60,"畅通",AND(G120&gt;=40,G120&lt;60),"轻度拥堵",AND(G120&gt;=20,G120&lt;40),"中度拥堵",AND(G120&gt;=0,G120&lt;20),"严重拥堵"),F120=110,_xlfn.IFS(G120&gt;=65,"畅通",AND(G120&gt;=45,G120&lt;65),"轻度拥堵",AND(G120&gt;=25,G120&lt;45),"中度拥堵",AND(G120&gt;=0,G120&lt;25),"严重拥堵"),F120=120,_xlfn.IFS(G120&gt;=70,"畅通",AND(G120&gt;=50,G120&lt;70),"轻度拥堵",AND(G120&gt;=30,G120&lt;50),"中度拥堵",AND(G120&gt;=0,G120&lt;30),"严重拥堵")))</f>
        <v>中度拥堵</v>
      </c>
    </row>
    <row r="121" spans="1:8" x14ac:dyDescent="0.2">
      <c r="A121">
        <v>120</v>
      </c>
      <c r="B121" t="s">
        <v>6</v>
      </c>
      <c r="C121">
        <v>100</v>
      </c>
      <c r="D121">
        <v>1.2</v>
      </c>
      <c r="E121">
        <f t="shared" si="22"/>
        <v>4.29</v>
      </c>
      <c r="F121">
        <v>60</v>
      </c>
      <c r="G121">
        <v>28</v>
      </c>
      <c r="H121" t="str" cm="1">
        <f t="array" ref="H121">IF(OR(B121="主干路",B121="次干路"),_xlfn.IFS(F121=40,_xlfn.IFS(G121&gt;=25,"畅通",AND(G121&gt;=20,G121&lt;25),"轻度拥堵",AND(G121&gt;=15,G121&lt;20),"中度拥堵",AND(G121&gt;=0,G121&lt;15),"严重拥堵"),F121&lt;40,_xlfn.IFS(G121&gt;=25,"畅通",AND(G121&gt;=20,G121&lt;25),"轻度拥堵",AND(G121&gt;=10,G121&lt;20),"中度拥堵",AND(G121&gt;=0,G121&lt;10),"严重拥堵"),F121=50,_xlfn.IFS(G121&gt;=30,"畅通",AND(G121&gt;=25,G121&lt;30),"轻度拥堵",AND(G121&gt;=15,G121&lt;25),"中度拥堵",AND(G121&gt;=0,G121&lt;15),"严重拥堵"),F121=60,_xlfn.IFS(G121&gt;=35,"畅通",AND(G121&gt;=30,G121&lt;35),"轻度拥堵",AND(G121&gt;=20,G121&lt;30),"中度拥堵",AND(G121&gt;=0,G121&lt;20),"严重拥堵"),F121=70,_xlfn.IFS(G121&gt;=40,"畅通",AND(G121&gt;=30,G121&lt;40),"轻度拥堵",AND(G121&gt;=20,G121&lt;30),"中度拥堵",AND(G121&gt;=0,G121&lt;20),"严重拥堵"),F121=80,_xlfn.IFS(G121&gt;=45,"畅通",AND(G121&gt;=30,G121&lt;45),"轻度拥堵",AND(G121&gt;=20,G121&lt;30),"中度拥堵",AND(G121&gt;=0,G121&lt;20),"严重拥堵")),_xlfn.IFS(F121&lt;60,_xlfn.IFS(G121&gt;=40,"畅通",AND(G121&gt;=30,G121&lt;40),"轻度拥堵",AND(G121&gt;=20,G121&lt;30),"中度拥堵",AND(G121&gt;=0,G121&lt;20),"严重拥堵"),F121=60,_xlfn.IFS(G121&gt;=40,"畅通",AND(G121&gt;=30,G121&lt;40),"轻度拥堵",AND(G121&gt;=20,G121&lt;30),"中度拥堵",AND(G121&gt;=0,G121&lt;20),"严重拥堵"),F121=70,_xlfn.IFS(G121&gt;=45,"畅通",AND(G121&gt;=20,G121&lt;25),"轻度拥堵",AND(G121&gt;=10,G121&lt;20),"中度拥堵",AND(G121&gt;=0,G121&lt;10),"严重拥堵"),F121=80,_xlfn.IFS(G121&gt;=50,"畅通",AND(G121&gt;=35,G121&lt;50),"轻度拥堵",AND(G121&gt;=20,G121&lt;35),"中度拥堵",AND(G121&gt;=0,G121&lt;20),"严重拥堵"),F121=90,_xlfn.IFS(G121&gt;=55,"畅通",AND(G121&gt;=35,G121&lt;55),"轻度拥堵",AND(G121&gt;=20,G121&lt;35),"中度拥堵",AND(G121&gt;=0,G121&lt;20),"严重拥堵"),F121=100,_xlfn.IFS(G121&gt;=60,"畅通",AND(G121&gt;=40,G121&lt;60),"轻度拥堵",AND(G121&gt;=20,G121&lt;40),"中度拥堵",AND(G121&gt;=0,G121&lt;20),"严重拥堵"),F121=110,_xlfn.IFS(G121&gt;=65,"畅通",AND(G121&gt;=45,G121&lt;65),"轻度拥堵",AND(G121&gt;=25,G121&lt;45),"中度拥堵",AND(G121&gt;=0,G121&lt;25),"严重拥堵"),F121=120,_xlfn.IFS(G121&gt;=70,"畅通",AND(G121&gt;=50,G121&lt;70),"轻度拥堵",AND(G121&gt;=30,G121&lt;50),"中度拥堵",AND(G121&gt;=0,G121&lt;30),"严重拥堵")))</f>
        <v>中度拥堵</v>
      </c>
    </row>
    <row r="122" spans="1:8" x14ac:dyDescent="0.2">
      <c r="A122">
        <v>121</v>
      </c>
      <c r="B122" t="str" cm="1">
        <f t="array" aca="1" ref="B122" ca="1">INDIRECT("s"&amp;RANDBETWEEN(22,23))</f>
        <v>主干路</v>
      </c>
      <c r="C122">
        <f ca="1">RANDBETWEEN(78,182)</f>
        <v>79</v>
      </c>
      <c r="D122">
        <f ca="1">RANDBETWEEN(5,30)/10</f>
        <v>1.7</v>
      </c>
      <c r="E122">
        <f t="shared" ca="1" si="22"/>
        <v>2.2400000000000002</v>
      </c>
      <c r="F122" cm="1">
        <f t="array" aca="1" ref="F122" ca="1">INDIRECT("q"&amp;RANDBETWEEN(20,38))</f>
        <v>60</v>
      </c>
      <c r="G122">
        <f t="shared" ref="G122:G143" ca="1" si="26">RANDBETWEEN(1,F122)</f>
        <v>60</v>
      </c>
      <c r="H122" t="str" cm="1">
        <f t="array" aca="1" ref="H122" ca="1">IF(OR(B122="主干路",B122="次干路"),_xlfn.IFS(F122=40,_xlfn.IFS(G122&gt;=25,"畅通",AND(G122&gt;=20,G122&lt;25),"轻度拥堵",AND(G122&gt;=15,G122&lt;20),"中度拥堵",AND(G122&gt;=0,G122&lt;15),"严重拥堵"),F122&lt;40,_xlfn.IFS(G122&gt;=25,"畅通",AND(G122&gt;=20,G122&lt;25),"轻度拥堵",AND(G122&gt;=10,G122&lt;20),"中度拥堵",AND(G122&gt;=0,G122&lt;10),"严重拥堵"),F122=50,_xlfn.IFS(G122&gt;=30,"畅通",AND(G122&gt;=25,G122&lt;30),"轻度拥堵",AND(G122&gt;=15,G122&lt;25),"中度拥堵",AND(G122&gt;=0,G122&lt;15),"严重拥堵"),F122=60,_xlfn.IFS(G122&gt;=35,"畅通",AND(G122&gt;=30,G122&lt;35),"轻度拥堵",AND(G122&gt;=20,G122&lt;30),"中度拥堵",AND(G122&gt;=0,G122&lt;20),"严重拥堵"),F122=70,_xlfn.IFS(G122&gt;=40,"畅通",AND(G122&gt;=30,G122&lt;40),"轻度拥堵",AND(G122&gt;=20,G122&lt;30),"中度拥堵",AND(G122&gt;=0,G122&lt;20),"严重拥堵"),F122=80,_xlfn.IFS(G122&gt;=45,"畅通",AND(G122&gt;=30,G122&lt;45),"轻度拥堵",AND(G122&gt;=20,G122&lt;30),"中度拥堵",AND(G122&gt;=0,G122&lt;20),"严重拥堵")),_xlfn.IFS(F122&lt;60,_xlfn.IFS(G122&gt;=40,"畅通",AND(G122&gt;=30,G122&lt;40),"轻度拥堵",AND(G122&gt;=20,G122&lt;30),"中度拥堵",AND(G122&gt;=0,G122&lt;20),"严重拥堵"),F122=60,_xlfn.IFS(G122&gt;=40,"畅通",AND(G122&gt;=30,G122&lt;40),"轻度拥堵",AND(G122&gt;=20,G122&lt;30),"中度拥堵",AND(G122&gt;=0,G122&lt;20),"严重拥堵"),F122=70,_xlfn.IFS(G122&gt;=45,"畅通",AND(G122&gt;=20,G122&lt;25),"轻度拥堵",AND(G122&gt;=10,G122&lt;20),"中度拥堵",AND(G122&gt;=0,G122&lt;10),"严重拥堵"),F122=80,_xlfn.IFS(G122&gt;=50,"畅通",AND(G122&gt;=35,G122&lt;50),"轻度拥堵",AND(G122&gt;=20,G122&lt;35),"中度拥堵",AND(G122&gt;=0,G122&lt;20),"严重拥堵"),F122=90,_xlfn.IFS(G122&gt;=55,"畅通",AND(G122&gt;=35,G122&lt;55),"轻度拥堵",AND(G122&gt;=20,G122&lt;35),"中度拥堵",AND(G122&gt;=0,G122&lt;20),"严重拥堵"),F122=100,_xlfn.IFS(G122&gt;=60,"畅通",AND(G122&gt;=40,G122&lt;60),"轻度拥堵",AND(G122&gt;=20,G122&lt;40),"中度拥堵",AND(G122&gt;=0,G122&lt;20),"严重拥堵"),F122=110,_xlfn.IFS(G122&gt;=65,"畅通",AND(G122&gt;=45,G122&lt;65),"轻度拥堵",AND(G122&gt;=25,G122&lt;45),"中度拥堵",AND(G122&gt;=0,G122&lt;25),"严重拥堵"),F122=120,_xlfn.IFS(G122&gt;=70,"畅通",AND(G122&gt;=50,G122&lt;70),"轻度拥堵",AND(G122&gt;=30,G122&lt;50),"中度拥堵",AND(G122&gt;=0,G122&lt;30),"严重拥堵")))</f>
        <v>畅通</v>
      </c>
    </row>
    <row r="123" spans="1:8" x14ac:dyDescent="0.2">
      <c r="A123">
        <v>122</v>
      </c>
      <c r="B123" t="str" cm="1">
        <f t="array" aca="1" ref="B123" ca="1">INDIRECT("s"&amp;RANDBETWEEN(22,23))</f>
        <v>次干路</v>
      </c>
      <c r="C123">
        <f ca="1">RANDBETWEEN(78,182)</f>
        <v>123</v>
      </c>
      <c r="D123">
        <f ca="1">RANDBETWEEN(5,30)/10</f>
        <v>0.5</v>
      </c>
      <c r="E123">
        <f t="shared" ca="1" si="22"/>
        <v>1.54</v>
      </c>
      <c r="F123" cm="1">
        <f t="array" aca="1" ref="F123" ca="1">INDIRECT("q"&amp;RANDBETWEEN(20,38))</f>
        <v>60</v>
      </c>
      <c r="G123">
        <f t="shared" ca="1" si="26"/>
        <v>40</v>
      </c>
      <c r="H123" t="str" cm="1">
        <f t="array" aca="1" ref="H123" ca="1">IF(OR(B123="主干路",B123="次干路"),_xlfn.IFS(F123=40,_xlfn.IFS(G123&gt;=25,"畅通",AND(G123&gt;=20,G123&lt;25),"轻度拥堵",AND(G123&gt;=15,G123&lt;20),"中度拥堵",AND(G123&gt;=0,G123&lt;15),"严重拥堵"),F123&lt;40,_xlfn.IFS(G123&gt;=25,"畅通",AND(G123&gt;=20,G123&lt;25),"轻度拥堵",AND(G123&gt;=10,G123&lt;20),"中度拥堵",AND(G123&gt;=0,G123&lt;10),"严重拥堵"),F123=50,_xlfn.IFS(G123&gt;=30,"畅通",AND(G123&gt;=25,G123&lt;30),"轻度拥堵",AND(G123&gt;=15,G123&lt;25),"中度拥堵",AND(G123&gt;=0,G123&lt;15),"严重拥堵"),F123=60,_xlfn.IFS(G123&gt;=35,"畅通",AND(G123&gt;=30,G123&lt;35),"轻度拥堵",AND(G123&gt;=20,G123&lt;30),"中度拥堵",AND(G123&gt;=0,G123&lt;20),"严重拥堵"),F123=70,_xlfn.IFS(G123&gt;=40,"畅通",AND(G123&gt;=30,G123&lt;40),"轻度拥堵",AND(G123&gt;=20,G123&lt;30),"中度拥堵",AND(G123&gt;=0,G123&lt;20),"严重拥堵"),F123=80,_xlfn.IFS(G123&gt;=45,"畅通",AND(G123&gt;=30,G123&lt;45),"轻度拥堵",AND(G123&gt;=20,G123&lt;30),"中度拥堵",AND(G123&gt;=0,G123&lt;20),"严重拥堵")),_xlfn.IFS(F123&lt;60,_xlfn.IFS(G123&gt;=40,"畅通",AND(G123&gt;=30,G123&lt;40),"轻度拥堵",AND(G123&gt;=20,G123&lt;30),"中度拥堵",AND(G123&gt;=0,G123&lt;20),"严重拥堵"),F123=60,_xlfn.IFS(G123&gt;=40,"畅通",AND(G123&gt;=30,G123&lt;40),"轻度拥堵",AND(G123&gt;=20,G123&lt;30),"中度拥堵",AND(G123&gt;=0,G123&lt;20),"严重拥堵"),F123=70,_xlfn.IFS(G123&gt;=45,"畅通",AND(G123&gt;=20,G123&lt;25),"轻度拥堵",AND(G123&gt;=10,G123&lt;20),"中度拥堵",AND(G123&gt;=0,G123&lt;10),"严重拥堵"),F123=80,_xlfn.IFS(G123&gt;=50,"畅通",AND(G123&gt;=35,G123&lt;50),"轻度拥堵",AND(G123&gt;=20,G123&lt;35),"中度拥堵",AND(G123&gt;=0,G123&lt;20),"严重拥堵"),F123=90,_xlfn.IFS(G123&gt;=55,"畅通",AND(G123&gt;=35,G123&lt;55),"轻度拥堵",AND(G123&gt;=20,G123&lt;35),"中度拥堵",AND(G123&gt;=0,G123&lt;20),"严重拥堵"),F123=100,_xlfn.IFS(G123&gt;=60,"畅通",AND(G123&gt;=40,G123&lt;60),"轻度拥堵",AND(G123&gt;=20,G123&lt;40),"中度拥堵",AND(G123&gt;=0,G123&lt;20),"严重拥堵"),F123=110,_xlfn.IFS(G123&gt;=65,"畅通",AND(G123&gt;=45,G123&lt;65),"轻度拥堵",AND(G123&gt;=25,G123&lt;45),"中度拥堵",AND(G123&gt;=0,G123&lt;25),"严重拥堵"),F123=120,_xlfn.IFS(G123&gt;=70,"畅通",AND(G123&gt;=50,G123&lt;70),"轻度拥堵",AND(G123&gt;=30,G123&lt;50),"中度拥堵",AND(G123&gt;=0,G123&lt;30),"严重拥堵")))</f>
        <v>畅通</v>
      </c>
    </row>
    <row r="124" spans="1:8" x14ac:dyDescent="0.2">
      <c r="A124">
        <v>123</v>
      </c>
      <c r="B124" t="str" cm="1">
        <f t="array" aca="1" ref="B124" ca="1">INDIRECT("s"&amp;RANDBETWEEN(22,23))</f>
        <v>次干路</v>
      </c>
      <c r="C124">
        <f ca="1">RANDBETWEEN(78,182)</f>
        <v>105</v>
      </c>
      <c r="D124">
        <f ca="1">RANDBETWEEN(5,30)/10</f>
        <v>2.9</v>
      </c>
      <c r="E124">
        <f t="shared" ca="1" si="22"/>
        <v>16.03</v>
      </c>
      <c r="F124" cm="1">
        <f t="array" aca="1" ref="F124" ca="1">INDIRECT("q"&amp;RANDBETWEEN(20,38))</f>
        <v>60</v>
      </c>
      <c r="G124">
        <f t="shared" ca="1" si="26"/>
        <v>19</v>
      </c>
      <c r="H124" t="str" cm="1">
        <f t="array" aca="1" ref="H124" ca="1">IF(OR(B124="主干路",B124="次干路"),_xlfn.IFS(F124=40,_xlfn.IFS(G124&gt;=25,"畅通",AND(G124&gt;=20,G124&lt;25),"轻度拥堵",AND(G124&gt;=15,G124&lt;20),"中度拥堵",AND(G124&gt;=0,G124&lt;15),"严重拥堵"),F124&lt;40,_xlfn.IFS(G124&gt;=25,"畅通",AND(G124&gt;=20,G124&lt;25),"轻度拥堵",AND(G124&gt;=10,G124&lt;20),"中度拥堵",AND(G124&gt;=0,G124&lt;10),"严重拥堵"),F124=50,_xlfn.IFS(G124&gt;=30,"畅通",AND(G124&gt;=25,G124&lt;30),"轻度拥堵",AND(G124&gt;=15,G124&lt;25),"中度拥堵",AND(G124&gt;=0,G124&lt;15),"严重拥堵"),F124=60,_xlfn.IFS(G124&gt;=35,"畅通",AND(G124&gt;=30,G124&lt;35),"轻度拥堵",AND(G124&gt;=20,G124&lt;30),"中度拥堵",AND(G124&gt;=0,G124&lt;20),"严重拥堵"),F124=70,_xlfn.IFS(G124&gt;=40,"畅通",AND(G124&gt;=30,G124&lt;40),"轻度拥堵",AND(G124&gt;=20,G124&lt;30),"中度拥堵",AND(G124&gt;=0,G124&lt;20),"严重拥堵"),F124=80,_xlfn.IFS(G124&gt;=45,"畅通",AND(G124&gt;=30,G124&lt;45),"轻度拥堵",AND(G124&gt;=20,G124&lt;30),"中度拥堵",AND(G124&gt;=0,G124&lt;20),"严重拥堵")),_xlfn.IFS(F124&lt;60,_xlfn.IFS(G124&gt;=40,"畅通",AND(G124&gt;=30,G124&lt;40),"轻度拥堵",AND(G124&gt;=20,G124&lt;30),"中度拥堵",AND(G124&gt;=0,G124&lt;20),"严重拥堵"),F124=60,_xlfn.IFS(G124&gt;=40,"畅通",AND(G124&gt;=30,G124&lt;40),"轻度拥堵",AND(G124&gt;=20,G124&lt;30),"中度拥堵",AND(G124&gt;=0,G124&lt;20),"严重拥堵"),F124=70,_xlfn.IFS(G124&gt;=45,"畅通",AND(G124&gt;=20,G124&lt;25),"轻度拥堵",AND(G124&gt;=10,G124&lt;20),"中度拥堵",AND(G124&gt;=0,G124&lt;10),"严重拥堵"),F124=80,_xlfn.IFS(G124&gt;=50,"畅通",AND(G124&gt;=35,G124&lt;50),"轻度拥堵",AND(G124&gt;=20,G124&lt;35),"中度拥堵",AND(G124&gt;=0,G124&lt;20),"严重拥堵"),F124=90,_xlfn.IFS(G124&gt;=55,"畅通",AND(G124&gt;=35,G124&lt;55),"轻度拥堵",AND(G124&gt;=20,G124&lt;35),"中度拥堵",AND(G124&gt;=0,G124&lt;20),"严重拥堵"),F124=100,_xlfn.IFS(G124&gt;=60,"畅通",AND(G124&gt;=40,G124&lt;60),"轻度拥堵",AND(G124&gt;=20,G124&lt;40),"中度拥堵",AND(G124&gt;=0,G124&lt;20),"严重拥堵"),F124=110,_xlfn.IFS(G124&gt;=65,"畅通",AND(G124&gt;=45,G124&lt;65),"轻度拥堵",AND(G124&gt;=25,G124&lt;45),"中度拥堵",AND(G124&gt;=0,G124&lt;25),"严重拥堵"),F124=120,_xlfn.IFS(G124&gt;=70,"畅通",AND(G124&gt;=50,G124&lt;70),"轻度拥堵",AND(G124&gt;=30,G124&lt;50),"中度拥堵",AND(G124&gt;=0,G124&lt;30),"严重拥堵")))</f>
        <v>严重拥堵</v>
      </c>
    </row>
    <row r="125" spans="1:8" x14ac:dyDescent="0.2">
      <c r="A125">
        <v>124</v>
      </c>
      <c r="B125" t="str" cm="1">
        <f t="array" aca="1" ref="B125" ca="1">INDIRECT("s"&amp;RANDBETWEEN(22,23))</f>
        <v>主干路</v>
      </c>
      <c r="C125">
        <f ca="1">RANDBETWEEN(78,182)</f>
        <v>80</v>
      </c>
      <c r="D125">
        <f ca="1">RANDBETWEEN(5,30)/10</f>
        <v>2.2999999999999998</v>
      </c>
      <c r="E125">
        <f t="shared" ca="1" si="22"/>
        <v>184</v>
      </c>
      <c r="F125" cm="1">
        <f t="array" aca="1" ref="F125" ca="1">INDIRECT("q"&amp;RANDBETWEEN(20,38))</f>
        <v>50</v>
      </c>
      <c r="G125">
        <f t="shared" ca="1" si="26"/>
        <v>1</v>
      </c>
      <c r="H125" t="str" cm="1">
        <f t="array" aca="1" ref="H125" ca="1">IF(OR(B125="主干路",B125="次干路"),_xlfn.IFS(F125=40,_xlfn.IFS(G125&gt;=25,"畅通",AND(G125&gt;=20,G125&lt;25),"轻度拥堵",AND(G125&gt;=15,G125&lt;20),"中度拥堵",AND(G125&gt;=0,G125&lt;15),"严重拥堵"),F125&lt;40,_xlfn.IFS(G125&gt;=25,"畅通",AND(G125&gt;=20,G125&lt;25),"轻度拥堵",AND(G125&gt;=10,G125&lt;20),"中度拥堵",AND(G125&gt;=0,G125&lt;10),"严重拥堵"),F125=50,_xlfn.IFS(G125&gt;=30,"畅通",AND(G125&gt;=25,G125&lt;30),"轻度拥堵",AND(G125&gt;=15,G125&lt;25),"中度拥堵",AND(G125&gt;=0,G125&lt;15),"严重拥堵"),F125=60,_xlfn.IFS(G125&gt;=35,"畅通",AND(G125&gt;=30,G125&lt;35),"轻度拥堵",AND(G125&gt;=20,G125&lt;30),"中度拥堵",AND(G125&gt;=0,G125&lt;20),"严重拥堵"),F125=70,_xlfn.IFS(G125&gt;=40,"畅通",AND(G125&gt;=30,G125&lt;40),"轻度拥堵",AND(G125&gt;=20,G125&lt;30),"中度拥堵",AND(G125&gt;=0,G125&lt;20),"严重拥堵"),F125=80,_xlfn.IFS(G125&gt;=45,"畅通",AND(G125&gt;=30,G125&lt;45),"轻度拥堵",AND(G125&gt;=20,G125&lt;30),"中度拥堵",AND(G125&gt;=0,G125&lt;20),"严重拥堵")),_xlfn.IFS(F125&lt;60,_xlfn.IFS(G125&gt;=40,"畅通",AND(G125&gt;=30,G125&lt;40),"轻度拥堵",AND(G125&gt;=20,G125&lt;30),"中度拥堵",AND(G125&gt;=0,G125&lt;20),"严重拥堵"),F125=60,_xlfn.IFS(G125&gt;=40,"畅通",AND(G125&gt;=30,G125&lt;40),"轻度拥堵",AND(G125&gt;=20,G125&lt;30),"中度拥堵",AND(G125&gt;=0,G125&lt;20),"严重拥堵"),F125=70,_xlfn.IFS(G125&gt;=45,"畅通",AND(G125&gt;=20,G125&lt;25),"轻度拥堵",AND(G125&gt;=10,G125&lt;20),"中度拥堵",AND(G125&gt;=0,G125&lt;10),"严重拥堵"),F125=80,_xlfn.IFS(G125&gt;=50,"畅通",AND(G125&gt;=35,G125&lt;50),"轻度拥堵",AND(G125&gt;=20,G125&lt;35),"中度拥堵",AND(G125&gt;=0,G125&lt;20),"严重拥堵"),F125=90,_xlfn.IFS(G125&gt;=55,"畅通",AND(G125&gt;=35,G125&lt;55),"轻度拥堵",AND(G125&gt;=20,G125&lt;35),"中度拥堵",AND(G125&gt;=0,G125&lt;20),"严重拥堵"),F125=100,_xlfn.IFS(G125&gt;=60,"畅通",AND(G125&gt;=40,G125&lt;60),"轻度拥堵",AND(G125&gt;=20,G125&lt;40),"中度拥堵",AND(G125&gt;=0,G125&lt;20),"严重拥堵"),F125=110,_xlfn.IFS(G125&gt;=65,"畅通",AND(G125&gt;=45,G125&lt;65),"轻度拥堵",AND(G125&gt;=25,G125&lt;45),"中度拥堵",AND(G125&gt;=0,G125&lt;25),"严重拥堵"),F125=120,_xlfn.IFS(G125&gt;=70,"畅通",AND(G125&gt;=50,G125&lt;70),"轻度拥堵",AND(G125&gt;=30,G125&lt;50),"中度拥堵",AND(G125&gt;=0,G125&lt;30),"严重拥堵")))</f>
        <v>严重拥堵</v>
      </c>
    </row>
    <row r="126" spans="1:8" x14ac:dyDescent="0.2">
      <c r="A126">
        <v>125</v>
      </c>
      <c r="B126" t="str" cm="1">
        <f t="array" aca="1" ref="B126" ca="1">INDIRECT("s"&amp;RANDBETWEEN(22,23))</f>
        <v>主干路</v>
      </c>
      <c r="C126">
        <f ca="1">RANDBETWEEN(78,182)</f>
        <v>105</v>
      </c>
      <c r="D126">
        <f ca="1">RANDBETWEEN(5,30)/10</f>
        <v>2.9</v>
      </c>
      <c r="E126">
        <f t="shared" ca="1" si="22"/>
        <v>16.920000000000002</v>
      </c>
      <c r="F126" cm="1">
        <f t="array" aca="1" ref="F126" ca="1">INDIRECT("q"&amp;RANDBETWEEN(20,38))</f>
        <v>50</v>
      </c>
      <c r="G126">
        <f t="shared" ca="1" si="26"/>
        <v>18</v>
      </c>
      <c r="H126" t="str" cm="1">
        <f t="array" aca="1" ref="H126" ca="1">IF(OR(B126="主干路",B126="次干路"),_xlfn.IFS(F126=40,_xlfn.IFS(G126&gt;=25,"畅通",AND(G126&gt;=20,G126&lt;25),"轻度拥堵",AND(G126&gt;=15,G126&lt;20),"中度拥堵",AND(G126&gt;=0,G126&lt;15),"严重拥堵"),F126&lt;40,_xlfn.IFS(G126&gt;=25,"畅通",AND(G126&gt;=20,G126&lt;25),"轻度拥堵",AND(G126&gt;=10,G126&lt;20),"中度拥堵",AND(G126&gt;=0,G126&lt;10),"严重拥堵"),F126=50,_xlfn.IFS(G126&gt;=30,"畅通",AND(G126&gt;=25,G126&lt;30),"轻度拥堵",AND(G126&gt;=15,G126&lt;25),"中度拥堵",AND(G126&gt;=0,G126&lt;15),"严重拥堵"),F126=60,_xlfn.IFS(G126&gt;=35,"畅通",AND(G126&gt;=30,G126&lt;35),"轻度拥堵",AND(G126&gt;=20,G126&lt;30),"中度拥堵",AND(G126&gt;=0,G126&lt;20),"严重拥堵"),F126=70,_xlfn.IFS(G126&gt;=40,"畅通",AND(G126&gt;=30,G126&lt;40),"轻度拥堵",AND(G126&gt;=20,G126&lt;30),"中度拥堵",AND(G126&gt;=0,G126&lt;20),"严重拥堵"),F126=80,_xlfn.IFS(G126&gt;=45,"畅通",AND(G126&gt;=30,G126&lt;45),"轻度拥堵",AND(G126&gt;=20,G126&lt;30),"中度拥堵",AND(G126&gt;=0,G126&lt;20),"严重拥堵")),_xlfn.IFS(F126&lt;60,_xlfn.IFS(G126&gt;=40,"畅通",AND(G126&gt;=30,G126&lt;40),"轻度拥堵",AND(G126&gt;=20,G126&lt;30),"中度拥堵",AND(G126&gt;=0,G126&lt;20),"严重拥堵"),F126=60,_xlfn.IFS(G126&gt;=40,"畅通",AND(G126&gt;=30,G126&lt;40),"轻度拥堵",AND(G126&gt;=20,G126&lt;30),"中度拥堵",AND(G126&gt;=0,G126&lt;20),"严重拥堵"),F126=70,_xlfn.IFS(G126&gt;=45,"畅通",AND(G126&gt;=20,G126&lt;25),"轻度拥堵",AND(G126&gt;=10,G126&lt;20),"中度拥堵",AND(G126&gt;=0,G126&lt;10),"严重拥堵"),F126=80,_xlfn.IFS(G126&gt;=50,"畅通",AND(G126&gt;=35,G126&lt;50),"轻度拥堵",AND(G126&gt;=20,G126&lt;35),"中度拥堵",AND(G126&gt;=0,G126&lt;20),"严重拥堵"),F126=90,_xlfn.IFS(G126&gt;=55,"畅通",AND(G126&gt;=35,G126&lt;55),"轻度拥堵",AND(G126&gt;=20,G126&lt;35),"中度拥堵",AND(G126&gt;=0,G126&lt;20),"严重拥堵"),F126=100,_xlfn.IFS(G126&gt;=60,"畅通",AND(G126&gt;=40,G126&lt;60),"轻度拥堵",AND(G126&gt;=20,G126&lt;40),"中度拥堵",AND(G126&gt;=0,G126&lt;20),"严重拥堵"),F126=110,_xlfn.IFS(G126&gt;=65,"畅通",AND(G126&gt;=45,G126&lt;65),"轻度拥堵",AND(G126&gt;=25,G126&lt;45),"中度拥堵",AND(G126&gt;=0,G126&lt;25),"严重拥堵"),F126=120,_xlfn.IFS(G126&gt;=70,"畅通",AND(G126&gt;=50,G126&lt;70),"轻度拥堵",AND(G126&gt;=30,G126&lt;50),"中度拥堵",AND(G126&gt;=0,G126&lt;30),"严重拥堵")))</f>
        <v>中度拥堵</v>
      </c>
    </row>
    <row r="127" spans="1:8" x14ac:dyDescent="0.2">
      <c r="A127">
        <v>126</v>
      </c>
      <c r="B127" t="str" cm="1">
        <f t="array" aca="1" ref="B127" ca="1">INDIRECT("r"&amp;RANDBETWEEN(22,23))</f>
        <v>城市快速路</v>
      </c>
      <c r="C127">
        <f t="shared" ref="C127:C136" ca="1" si="27">RANDBETWEEN(145,482)</f>
        <v>430</v>
      </c>
      <c r="D127">
        <f t="shared" ref="D127:D136" ca="1" si="28">RANDBETWEEN(20,50)/10</f>
        <v>4.8</v>
      </c>
      <c r="E127">
        <f t="shared" ca="1" si="22"/>
        <v>114.67</v>
      </c>
      <c r="F127" cm="1">
        <f t="array" aca="1" ref="F127" ca="1">INDIRECT("p"&amp;RANDBETWEEN(20,39))</f>
        <v>80</v>
      </c>
      <c r="G127">
        <f t="shared" ca="1" si="26"/>
        <v>18</v>
      </c>
      <c r="H127" t="str" cm="1">
        <f t="array" aca="1" ref="H127" ca="1">IF(OR(B127="主干路",B127="次干路"),_xlfn.IFS(F127=40,_xlfn.IFS(G127&gt;=25,"畅通",AND(G127&gt;=20,G127&lt;25),"轻度拥堵",AND(G127&gt;=15,G127&lt;20),"中度拥堵",AND(G127&gt;=0,G127&lt;15),"严重拥堵"),F127&lt;40,_xlfn.IFS(G127&gt;=25,"畅通",AND(G127&gt;=20,G127&lt;25),"轻度拥堵",AND(G127&gt;=10,G127&lt;20),"中度拥堵",AND(G127&gt;=0,G127&lt;10),"严重拥堵"),F127=50,_xlfn.IFS(G127&gt;=30,"畅通",AND(G127&gt;=25,G127&lt;30),"轻度拥堵",AND(G127&gt;=15,G127&lt;25),"中度拥堵",AND(G127&gt;=0,G127&lt;15),"严重拥堵"),F127=60,_xlfn.IFS(G127&gt;=35,"畅通",AND(G127&gt;=30,G127&lt;35),"轻度拥堵",AND(G127&gt;=20,G127&lt;30),"中度拥堵",AND(G127&gt;=0,G127&lt;20),"严重拥堵"),F127=70,_xlfn.IFS(G127&gt;=40,"畅通",AND(G127&gt;=30,G127&lt;40),"轻度拥堵",AND(G127&gt;=20,G127&lt;30),"中度拥堵",AND(G127&gt;=0,G127&lt;20),"严重拥堵"),F127=80,_xlfn.IFS(G127&gt;=45,"畅通",AND(G127&gt;=30,G127&lt;45),"轻度拥堵",AND(G127&gt;=20,G127&lt;30),"中度拥堵",AND(G127&gt;=0,G127&lt;20),"严重拥堵")),_xlfn.IFS(F127&lt;60,_xlfn.IFS(G127&gt;=40,"畅通",AND(G127&gt;=30,G127&lt;40),"轻度拥堵",AND(G127&gt;=20,G127&lt;30),"中度拥堵",AND(G127&gt;=0,G127&lt;20),"严重拥堵"),F127=60,_xlfn.IFS(G127&gt;=40,"畅通",AND(G127&gt;=30,G127&lt;40),"轻度拥堵",AND(G127&gt;=20,G127&lt;30),"中度拥堵",AND(G127&gt;=0,G127&lt;20),"严重拥堵"),F127=70,_xlfn.IFS(G127&gt;=45,"畅通",AND(G127&gt;=30,G127&lt;45),"轻度拥堵",AND(G127&gt;=20,G127&lt;30),"中度拥堵",AND(G127&gt;=0,G127&lt;20),"严重拥堵"),F127=80,_xlfn.IFS(G127&gt;=50,"畅通",AND(G127&gt;=35,G127&lt;50),"轻度拥堵",AND(G127&gt;=20,G127&lt;35),"中度拥堵",AND(G127&gt;=0,G127&lt;20),"严重拥堵"),F127=90,_xlfn.IFS(G127&gt;=55,"畅通",AND(G127&gt;=35,G127&lt;55),"轻度拥堵",AND(G127&gt;=20,G127&lt;35),"中度拥堵",AND(G127&gt;=0,G127&lt;20),"严重拥堵"),F127=100,_xlfn.IFS(G127&gt;=60,"畅通",AND(G127&gt;=40,G127&lt;60),"轻度拥堵",AND(G127&gt;=20,G127&lt;40),"中度拥堵",AND(G127&gt;=0,G127&lt;20),"严重拥堵"),F127=110,_xlfn.IFS(G127&gt;=65,"畅通",AND(G127&gt;=45,G127&lt;65),"轻度拥堵",AND(G127&gt;=25,G127&lt;45),"中度拥堵",AND(G127&gt;=0,G127&lt;25),"严重拥堵"),F127=120,_xlfn.IFS(G127&gt;=70,"畅通",AND(G127&gt;=50,G127&lt;70),"轻度拥堵",AND(G127&gt;=30,G127&lt;50),"中度拥堵",AND(G127&gt;=0,G127&lt;30),"严重拥堵")))</f>
        <v>严重拥堵</v>
      </c>
    </row>
    <row r="128" spans="1:8" x14ac:dyDescent="0.2">
      <c r="A128">
        <v>127</v>
      </c>
      <c r="B128" t="str" cm="1">
        <f t="array" aca="1" ref="B128" ca="1">INDIRECT("r"&amp;RANDBETWEEN(22,23))</f>
        <v>城市快速路</v>
      </c>
      <c r="C128">
        <f t="shared" ca="1" si="27"/>
        <v>287</v>
      </c>
      <c r="D128">
        <f t="shared" ca="1" si="28"/>
        <v>4.7</v>
      </c>
      <c r="E128">
        <f t="shared" ca="1" si="22"/>
        <v>15.16</v>
      </c>
      <c r="F128" cm="1">
        <f t="array" aca="1" ref="F128" ca="1">INDIRECT("p"&amp;RANDBETWEEN(20,39))</f>
        <v>110</v>
      </c>
      <c r="G128">
        <f t="shared" ca="1" si="26"/>
        <v>89</v>
      </c>
      <c r="H128" t="str" cm="1">
        <f t="array" aca="1" ref="H128" ca="1">IF(OR(B128="主干路",B128="次干路"),_xlfn.IFS(F128=40,_xlfn.IFS(G128&gt;=25,"畅通",AND(G128&gt;=20,G128&lt;25),"轻度拥堵",AND(G128&gt;=15,G128&lt;20),"中度拥堵",AND(G128&gt;=0,G128&lt;15),"严重拥堵"),F128&lt;40,_xlfn.IFS(G128&gt;=25,"畅通",AND(G128&gt;=20,G128&lt;25),"轻度拥堵",AND(G128&gt;=10,G128&lt;20),"中度拥堵",AND(G128&gt;=0,G128&lt;10),"严重拥堵"),F128=50,_xlfn.IFS(G128&gt;=30,"畅通",AND(G128&gt;=25,G128&lt;30),"轻度拥堵",AND(G128&gt;=15,G128&lt;25),"中度拥堵",AND(G128&gt;=0,G128&lt;15),"严重拥堵"),F128=60,_xlfn.IFS(G128&gt;=35,"畅通",AND(G128&gt;=30,G128&lt;35),"轻度拥堵",AND(G128&gt;=20,G128&lt;30),"中度拥堵",AND(G128&gt;=0,G128&lt;20),"严重拥堵"),F128=70,_xlfn.IFS(G128&gt;=40,"畅通",AND(G128&gt;=30,G128&lt;40),"轻度拥堵",AND(G128&gt;=20,G128&lt;30),"中度拥堵",AND(G128&gt;=0,G128&lt;20),"严重拥堵"),F128=80,_xlfn.IFS(G128&gt;=45,"畅通",AND(G128&gt;=30,G128&lt;45),"轻度拥堵",AND(G128&gt;=20,G128&lt;30),"中度拥堵",AND(G128&gt;=0,G128&lt;20),"严重拥堵")),_xlfn.IFS(F128&lt;60,_xlfn.IFS(G128&gt;=40,"畅通",AND(G128&gt;=30,G128&lt;40),"轻度拥堵",AND(G128&gt;=20,G128&lt;30),"中度拥堵",AND(G128&gt;=0,G128&lt;20),"严重拥堵"),F128=60,_xlfn.IFS(G128&gt;=40,"畅通",AND(G128&gt;=30,G128&lt;40),"轻度拥堵",AND(G128&gt;=20,G128&lt;30),"中度拥堵",AND(G128&gt;=0,G128&lt;20),"严重拥堵"),F128=70,_xlfn.IFS(G128&gt;=45,"畅通",AND(G128&gt;=30,G128&lt;45),"轻度拥堵",AND(G128&gt;=20,G128&lt;30),"中度拥堵",AND(G128&gt;=0,G128&lt;20),"严重拥堵"),F128=80,_xlfn.IFS(G128&gt;=50,"畅通",AND(G128&gt;=35,G128&lt;50),"轻度拥堵",AND(G128&gt;=20,G128&lt;35),"中度拥堵",AND(G128&gt;=0,G128&lt;20),"严重拥堵"),F128=90,_xlfn.IFS(G128&gt;=55,"畅通",AND(G128&gt;=35,G128&lt;55),"轻度拥堵",AND(G128&gt;=20,G128&lt;35),"中度拥堵",AND(G128&gt;=0,G128&lt;20),"严重拥堵"),F128=100,_xlfn.IFS(G128&gt;=60,"畅通",AND(G128&gt;=40,G128&lt;60),"轻度拥堵",AND(G128&gt;=20,G128&lt;40),"中度拥堵",AND(G128&gt;=0,G128&lt;20),"严重拥堵"),F128=110,_xlfn.IFS(G128&gt;=65,"畅通",AND(G128&gt;=45,G128&lt;65),"轻度拥堵",AND(G128&gt;=25,G128&lt;45),"中度拥堵",AND(G128&gt;=0,G128&lt;25),"严重拥堵"),F128=120,_xlfn.IFS(G128&gt;=70,"畅通",AND(G128&gt;=50,G128&lt;70),"轻度拥堵",AND(G128&gt;=30,G128&lt;50),"中度拥堵",AND(G128&gt;=0,G128&lt;30),"严重拥堵")))</f>
        <v>畅通</v>
      </c>
    </row>
    <row r="129" spans="1:8" x14ac:dyDescent="0.2">
      <c r="A129">
        <v>128</v>
      </c>
      <c r="B129" t="str" cm="1">
        <f t="array" aca="1" ref="B129" ca="1">INDIRECT("r"&amp;RANDBETWEEN(22,23))</f>
        <v>公路</v>
      </c>
      <c r="C129">
        <f t="shared" ca="1" si="27"/>
        <v>220</v>
      </c>
      <c r="D129">
        <f t="shared" ca="1" si="28"/>
        <v>3.3</v>
      </c>
      <c r="E129">
        <f t="shared" ca="1" si="22"/>
        <v>12.31</v>
      </c>
      <c r="F129" cm="1">
        <f t="array" aca="1" ref="F129" ca="1">INDIRECT("p"&amp;RANDBETWEEN(20,39))</f>
        <v>80</v>
      </c>
      <c r="G129">
        <f t="shared" ca="1" si="26"/>
        <v>59</v>
      </c>
      <c r="H129" t="str" cm="1">
        <f t="array" aca="1" ref="H129" ca="1">IF(OR(B129="主干路",B129="次干路"),_xlfn.IFS(F129=40,_xlfn.IFS(G129&gt;=25,"畅通",AND(G129&gt;=20,G129&lt;25),"轻度拥堵",AND(G129&gt;=15,G129&lt;20),"中度拥堵",AND(G129&gt;=0,G129&lt;15),"严重拥堵"),F129&lt;40,_xlfn.IFS(G129&gt;=25,"畅通",AND(G129&gt;=20,G129&lt;25),"轻度拥堵",AND(G129&gt;=10,G129&lt;20),"中度拥堵",AND(G129&gt;=0,G129&lt;10),"严重拥堵"),F129=50,_xlfn.IFS(G129&gt;=30,"畅通",AND(G129&gt;=25,G129&lt;30),"轻度拥堵",AND(G129&gt;=15,G129&lt;25),"中度拥堵",AND(G129&gt;=0,G129&lt;15),"严重拥堵"),F129=60,_xlfn.IFS(G129&gt;=35,"畅通",AND(G129&gt;=30,G129&lt;35),"轻度拥堵",AND(G129&gt;=20,G129&lt;30),"中度拥堵",AND(G129&gt;=0,G129&lt;20),"严重拥堵"),F129=70,_xlfn.IFS(G129&gt;=40,"畅通",AND(G129&gt;=30,G129&lt;40),"轻度拥堵",AND(G129&gt;=20,G129&lt;30),"中度拥堵",AND(G129&gt;=0,G129&lt;20),"严重拥堵"),F129=80,_xlfn.IFS(G129&gt;=45,"畅通",AND(G129&gt;=30,G129&lt;45),"轻度拥堵",AND(G129&gt;=20,G129&lt;30),"中度拥堵",AND(G129&gt;=0,G129&lt;20),"严重拥堵")),_xlfn.IFS(F129&lt;60,_xlfn.IFS(G129&gt;=40,"畅通",AND(G129&gt;=30,G129&lt;40),"轻度拥堵",AND(G129&gt;=20,G129&lt;30),"中度拥堵",AND(G129&gt;=0,G129&lt;20),"严重拥堵"),F129=60,_xlfn.IFS(G129&gt;=40,"畅通",AND(G129&gt;=30,G129&lt;40),"轻度拥堵",AND(G129&gt;=20,G129&lt;30),"中度拥堵",AND(G129&gt;=0,G129&lt;20),"严重拥堵"),F129=70,_xlfn.IFS(G129&gt;=45,"畅通",AND(G129&gt;=30,G129&lt;45),"轻度拥堵",AND(G129&gt;=20,G129&lt;30),"中度拥堵",AND(G129&gt;=0,G129&lt;20),"严重拥堵"),F129=80,_xlfn.IFS(G129&gt;=50,"畅通",AND(G129&gt;=35,G129&lt;50),"轻度拥堵",AND(G129&gt;=20,G129&lt;35),"中度拥堵",AND(G129&gt;=0,G129&lt;20),"严重拥堵"),F129=90,_xlfn.IFS(G129&gt;=55,"畅通",AND(G129&gt;=35,G129&lt;55),"轻度拥堵",AND(G129&gt;=20,G129&lt;35),"中度拥堵",AND(G129&gt;=0,G129&lt;20),"严重拥堵"),F129=100,_xlfn.IFS(G129&gt;=60,"畅通",AND(G129&gt;=40,G129&lt;60),"轻度拥堵",AND(G129&gt;=20,G129&lt;40),"中度拥堵",AND(G129&gt;=0,G129&lt;20),"严重拥堵"),F129=110,_xlfn.IFS(G129&gt;=65,"畅通",AND(G129&gt;=45,G129&lt;65),"轻度拥堵",AND(G129&gt;=25,G129&lt;45),"中度拥堵",AND(G129&gt;=0,G129&lt;25),"严重拥堵"),F129=120,_xlfn.IFS(G129&gt;=70,"畅通",AND(G129&gt;=50,G129&lt;70),"轻度拥堵",AND(G129&gt;=30,G129&lt;50),"中度拥堵",AND(G129&gt;=0,G129&lt;30),"严重拥堵")))</f>
        <v>畅通</v>
      </c>
    </row>
    <row r="130" spans="1:8" x14ac:dyDescent="0.2">
      <c r="A130">
        <v>129</v>
      </c>
      <c r="B130" t="str" cm="1">
        <f t="array" aca="1" ref="B130" ca="1">INDIRECT("r"&amp;RANDBETWEEN(22,23))</f>
        <v>公路</v>
      </c>
      <c r="C130">
        <f t="shared" ca="1" si="27"/>
        <v>417</v>
      </c>
      <c r="D130">
        <f t="shared" ca="1" si="28"/>
        <v>3.5</v>
      </c>
      <c r="E130">
        <f t="shared" ca="1" si="22"/>
        <v>18.95</v>
      </c>
      <c r="F130" cm="1">
        <f t="array" aca="1" ref="F130" ca="1">INDIRECT("p"&amp;RANDBETWEEN(20,39))</f>
        <v>80</v>
      </c>
      <c r="G130">
        <f t="shared" ca="1" si="26"/>
        <v>77</v>
      </c>
      <c r="H130" t="str" cm="1">
        <f t="array" aca="1" ref="H130" ca="1">IF(OR(B130="主干路",B130="次干路"),_xlfn.IFS(F130=40,_xlfn.IFS(G130&gt;=25,"畅通",AND(G130&gt;=20,G130&lt;25),"轻度拥堵",AND(G130&gt;=15,G130&lt;20),"中度拥堵",AND(G130&gt;=0,G130&lt;15),"严重拥堵"),F130&lt;40,_xlfn.IFS(G130&gt;=25,"畅通",AND(G130&gt;=20,G130&lt;25),"轻度拥堵",AND(G130&gt;=10,G130&lt;20),"中度拥堵",AND(G130&gt;=0,G130&lt;10),"严重拥堵"),F130=50,_xlfn.IFS(G130&gt;=30,"畅通",AND(G130&gt;=25,G130&lt;30),"轻度拥堵",AND(G130&gt;=15,G130&lt;25),"中度拥堵",AND(G130&gt;=0,G130&lt;15),"严重拥堵"),F130=60,_xlfn.IFS(G130&gt;=35,"畅通",AND(G130&gt;=30,G130&lt;35),"轻度拥堵",AND(G130&gt;=20,G130&lt;30),"中度拥堵",AND(G130&gt;=0,G130&lt;20),"严重拥堵"),F130=70,_xlfn.IFS(G130&gt;=40,"畅通",AND(G130&gt;=30,G130&lt;40),"轻度拥堵",AND(G130&gt;=20,G130&lt;30),"中度拥堵",AND(G130&gt;=0,G130&lt;20),"严重拥堵"),F130=80,_xlfn.IFS(G130&gt;=45,"畅通",AND(G130&gt;=30,G130&lt;45),"轻度拥堵",AND(G130&gt;=20,G130&lt;30),"中度拥堵",AND(G130&gt;=0,G130&lt;20),"严重拥堵")),_xlfn.IFS(F130&lt;60,_xlfn.IFS(G130&gt;=40,"畅通",AND(G130&gt;=30,G130&lt;40),"轻度拥堵",AND(G130&gt;=20,G130&lt;30),"中度拥堵",AND(G130&gt;=0,G130&lt;20),"严重拥堵"),F130=60,_xlfn.IFS(G130&gt;=40,"畅通",AND(G130&gt;=30,G130&lt;40),"轻度拥堵",AND(G130&gt;=20,G130&lt;30),"中度拥堵",AND(G130&gt;=0,G130&lt;20),"严重拥堵"),F130=70,_xlfn.IFS(G130&gt;=45,"畅通",AND(G130&gt;=30,G130&lt;45),"轻度拥堵",AND(G130&gt;=20,G130&lt;30),"中度拥堵",AND(G130&gt;=0,G130&lt;20),"严重拥堵"),F130=80,_xlfn.IFS(G130&gt;=50,"畅通",AND(G130&gt;=35,G130&lt;50),"轻度拥堵",AND(G130&gt;=20,G130&lt;35),"中度拥堵",AND(G130&gt;=0,G130&lt;20),"严重拥堵"),F130=90,_xlfn.IFS(G130&gt;=55,"畅通",AND(G130&gt;=35,G130&lt;55),"轻度拥堵",AND(G130&gt;=20,G130&lt;35),"中度拥堵",AND(G130&gt;=0,G130&lt;20),"严重拥堵"),F130=100,_xlfn.IFS(G130&gt;=60,"畅通",AND(G130&gt;=40,G130&lt;60),"轻度拥堵",AND(G130&gt;=20,G130&lt;40),"中度拥堵",AND(G130&gt;=0,G130&lt;20),"严重拥堵"),F130=110,_xlfn.IFS(G130&gt;=65,"畅通",AND(G130&gt;=45,G130&lt;65),"轻度拥堵",AND(G130&gt;=25,G130&lt;45),"中度拥堵",AND(G130&gt;=0,G130&lt;25),"严重拥堵"),F130=120,_xlfn.IFS(G130&gt;=70,"畅通",AND(G130&gt;=50,G130&lt;70),"轻度拥堵",AND(G130&gt;=30,G130&lt;50),"中度拥堵",AND(G130&gt;=0,G130&lt;30),"严重拥堵")))</f>
        <v>畅通</v>
      </c>
    </row>
    <row r="131" spans="1:8" x14ac:dyDescent="0.2">
      <c r="A131">
        <v>130</v>
      </c>
      <c r="B131" t="str" cm="1">
        <f t="array" aca="1" ref="B131" ca="1">INDIRECT("r"&amp;RANDBETWEEN(22,23))</f>
        <v>城市快速路</v>
      </c>
      <c r="C131">
        <f t="shared" ca="1" si="27"/>
        <v>309</v>
      </c>
      <c r="D131">
        <f t="shared" ca="1" si="28"/>
        <v>4.7</v>
      </c>
      <c r="E131">
        <f t="shared" ca="1" si="22"/>
        <v>31.57</v>
      </c>
      <c r="F131" cm="1">
        <f t="array" aca="1" ref="F131" ca="1">INDIRECT("p"&amp;RANDBETWEEN(20,39))</f>
        <v>50</v>
      </c>
      <c r="G131">
        <f t="shared" ca="1" si="26"/>
        <v>46</v>
      </c>
      <c r="H131" t="str" cm="1">
        <f t="array" aca="1" ref="H131" ca="1">IF(OR(B131="主干路",B131="次干路"),_xlfn.IFS(F131=40,_xlfn.IFS(G131&gt;=25,"畅通",AND(G131&gt;=20,G131&lt;25),"轻度拥堵",AND(G131&gt;=15,G131&lt;20),"中度拥堵",AND(G131&gt;=0,G131&lt;15),"严重拥堵"),F131&lt;40,_xlfn.IFS(G131&gt;=25,"畅通",AND(G131&gt;=20,G131&lt;25),"轻度拥堵",AND(G131&gt;=10,G131&lt;20),"中度拥堵",AND(G131&gt;=0,G131&lt;10),"严重拥堵"),F131=50,_xlfn.IFS(G131&gt;=30,"畅通",AND(G131&gt;=25,G131&lt;30),"轻度拥堵",AND(G131&gt;=15,G131&lt;25),"中度拥堵",AND(G131&gt;=0,G131&lt;15),"严重拥堵"),F131=60,_xlfn.IFS(G131&gt;=35,"畅通",AND(G131&gt;=30,G131&lt;35),"轻度拥堵",AND(G131&gt;=20,G131&lt;30),"中度拥堵",AND(G131&gt;=0,G131&lt;20),"严重拥堵"),F131=70,_xlfn.IFS(G131&gt;=40,"畅通",AND(G131&gt;=30,G131&lt;40),"轻度拥堵",AND(G131&gt;=20,G131&lt;30),"中度拥堵",AND(G131&gt;=0,G131&lt;20),"严重拥堵"),F131=80,_xlfn.IFS(G131&gt;=45,"畅通",AND(G131&gt;=30,G131&lt;45),"轻度拥堵",AND(G131&gt;=20,G131&lt;30),"中度拥堵",AND(G131&gt;=0,G131&lt;20),"严重拥堵")),_xlfn.IFS(F131&lt;60,_xlfn.IFS(G131&gt;=40,"畅通",AND(G131&gt;=30,G131&lt;40),"轻度拥堵",AND(G131&gt;=20,G131&lt;30),"中度拥堵",AND(G131&gt;=0,G131&lt;20),"严重拥堵"),F131=60,_xlfn.IFS(G131&gt;=40,"畅通",AND(G131&gt;=30,G131&lt;40),"轻度拥堵",AND(G131&gt;=20,G131&lt;30),"中度拥堵",AND(G131&gt;=0,G131&lt;20),"严重拥堵"),F131=70,_xlfn.IFS(G131&gt;=45,"畅通",AND(G131&gt;=30,G131&lt;45),"轻度拥堵",AND(G131&gt;=20,G131&lt;30),"中度拥堵",AND(G131&gt;=0,G131&lt;20),"严重拥堵"),F131=80,_xlfn.IFS(G131&gt;=50,"畅通",AND(G131&gt;=35,G131&lt;50),"轻度拥堵",AND(G131&gt;=20,G131&lt;35),"中度拥堵",AND(G131&gt;=0,G131&lt;20),"严重拥堵"),F131=90,_xlfn.IFS(G131&gt;=55,"畅通",AND(G131&gt;=35,G131&lt;55),"轻度拥堵",AND(G131&gt;=20,G131&lt;35),"中度拥堵",AND(G131&gt;=0,G131&lt;20),"严重拥堵"),F131=100,_xlfn.IFS(G131&gt;=60,"畅通",AND(G131&gt;=40,G131&lt;60),"轻度拥堵",AND(G131&gt;=20,G131&lt;40),"中度拥堵",AND(G131&gt;=0,G131&lt;20),"严重拥堵"),F131=110,_xlfn.IFS(G131&gt;=65,"畅通",AND(G131&gt;=45,G131&lt;65),"轻度拥堵",AND(G131&gt;=25,G131&lt;45),"中度拥堵",AND(G131&gt;=0,G131&lt;25),"严重拥堵"),F131=120,_xlfn.IFS(G131&gt;=70,"畅通",AND(G131&gt;=50,G131&lt;70),"轻度拥堵",AND(G131&gt;=30,G131&lt;50),"中度拥堵",AND(G131&gt;=0,G131&lt;30),"严重拥堵")))</f>
        <v>畅通</v>
      </c>
    </row>
    <row r="132" spans="1:8" x14ac:dyDescent="0.2">
      <c r="A132">
        <v>131</v>
      </c>
      <c r="B132" t="str" cm="1">
        <f t="array" aca="1" ref="B132" ca="1">INDIRECT("r"&amp;RANDBETWEEN(22,23))</f>
        <v>公路</v>
      </c>
      <c r="C132">
        <f t="shared" ca="1" si="27"/>
        <v>432</v>
      </c>
      <c r="D132">
        <f t="shared" ca="1" si="28"/>
        <v>2</v>
      </c>
      <c r="E132">
        <f t="shared" ca="1" si="22"/>
        <v>41.14</v>
      </c>
      <c r="F132" cm="1">
        <f t="array" aca="1" ref="F132" ca="1">INDIRECT("p"&amp;RANDBETWEEN(20,39))</f>
        <v>80</v>
      </c>
      <c r="G132">
        <f t="shared" ca="1" si="26"/>
        <v>21</v>
      </c>
      <c r="H132" t="str" cm="1">
        <f t="array" aca="1" ref="H132" ca="1">IF(OR(B132="主干路",B132="次干路"),_xlfn.IFS(F132=40,_xlfn.IFS(G132&gt;=25,"畅通",AND(G132&gt;=20,G132&lt;25),"轻度拥堵",AND(G132&gt;=15,G132&lt;20),"中度拥堵",AND(G132&gt;=0,G132&lt;15),"严重拥堵"),F132&lt;40,_xlfn.IFS(G132&gt;=25,"畅通",AND(G132&gt;=20,G132&lt;25),"轻度拥堵",AND(G132&gt;=10,G132&lt;20),"中度拥堵",AND(G132&gt;=0,G132&lt;10),"严重拥堵"),F132=50,_xlfn.IFS(G132&gt;=30,"畅通",AND(G132&gt;=25,G132&lt;30),"轻度拥堵",AND(G132&gt;=15,G132&lt;25),"中度拥堵",AND(G132&gt;=0,G132&lt;15),"严重拥堵"),F132=60,_xlfn.IFS(G132&gt;=35,"畅通",AND(G132&gt;=30,G132&lt;35),"轻度拥堵",AND(G132&gt;=20,G132&lt;30),"中度拥堵",AND(G132&gt;=0,G132&lt;20),"严重拥堵"),F132=70,_xlfn.IFS(G132&gt;=40,"畅通",AND(G132&gt;=30,G132&lt;40),"轻度拥堵",AND(G132&gt;=20,G132&lt;30),"中度拥堵",AND(G132&gt;=0,G132&lt;20),"严重拥堵"),F132=80,_xlfn.IFS(G132&gt;=45,"畅通",AND(G132&gt;=30,G132&lt;45),"轻度拥堵",AND(G132&gt;=20,G132&lt;30),"中度拥堵",AND(G132&gt;=0,G132&lt;20),"严重拥堵")),_xlfn.IFS(F132&lt;60,_xlfn.IFS(G132&gt;=40,"畅通",AND(G132&gt;=30,G132&lt;40),"轻度拥堵",AND(G132&gt;=20,G132&lt;30),"中度拥堵",AND(G132&gt;=0,G132&lt;20),"严重拥堵"),F132=60,_xlfn.IFS(G132&gt;=40,"畅通",AND(G132&gt;=30,G132&lt;40),"轻度拥堵",AND(G132&gt;=20,G132&lt;30),"中度拥堵",AND(G132&gt;=0,G132&lt;20),"严重拥堵"),F132=70,_xlfn.IFS(G132&gt;=45,"畅通",AND(G132&gt;=30,G132&lt;45),"轻度拥堵",AND(G132&gt;=20,G132&lt;30),"中度拥堵",AND(G132&gt;=0,G132&lt;20),"严重拥堵"),F132=80,_xlfn.IFS(G132&gt;=50,"畅通",AND(G132&gt;=35,G132&lt;50),"轻度拥堵",AND(G132&gt;=20,G132&lt;35),"中度拥堵",AND(G132&gt;=0,G132&lt;20),"严重拥堵"),F132=90,_xlfn.IFS(G132&gt;=55,"畅通",AND(G132&gt;=35,G132&lt;55),"轻度拥堵",AND(G132&gt;=20,G132&lt;35),"中度拥堵",AND(G132&gt;=0,G132&lt;20),"严重拥堵"),F132=100,_xlfn.IFS(G132&gt;=60,"畅通",AND(G132&gt;=40,G132&lt;60),"轻度拥堵",AND(G132&gt;=20,G132&lt;40),"中度拥堵",AND(G132&gt;=0,G132&lt;20),"严重拥堵"),F132=110,_xlfn.IFS(G132&gt;=65,"畅通",AND(G132&gt;=45,G132&lt;65),"轻度拥堵",AND(G132&gt;=25,G132&lt;45),"中度拥堵",AND(G132&gt;=0,G132&lt;25),"严重拥堵"),F132=120,_xlfn.IFS(G132&gt;=70,"畅通",AND(G132&gt;=50,G132&lt;70),"轻度拥堵",AND(G132&gt;=30,G132&lt;50),"中度拥堵",AND(G132&gt;=0,G132&lt;30),"严重拥堵")))</f>
        <v>中度拥堵</v>
      </c>
    </row>
    <row r="133" spans="1:8" x14ac:dyDescent="0.2">
      <c r="A133">
        <v>132</v>
      </c>
      <c r="B133" t="str" cm="1">
        <f t="array" aca="1" ref="B133" ca="1">INDIRECT("r"&amp;RANDBETWEEN(22,23))</f>
        <v>公路</v>
      </c>
      <c r="C133">
        <f t="shared" ca="1" si="27"/>
        <v>310</v>
      </c>
      <c r="D133">
        <f t="shared" ca="1" si="28"/>
        <v>2.2000000000000002</v>
      </c>
      <c r="E133">
        <f t="shared" ca="1" si="22"/>
        <v>11.56</v>
      </c>
      <c r="F133" cm="1">
        <f t="array" aca="1" ref="F133" ca="1">INDIRECT("p"&amp;RANDBETWEEN(20,39))</f>
        <v>60</v>
      </c>
      <c r="G133">
        <f t="shared" ca="1" si="26"/>
        <v>59</v>
      </c>
      <c r="H133" t="str" cm="1">
        <f t="array" aca="1" ref="H133" ca="1">IF(OR(B133="主干路",B133="次干路"),_xlfn.IFS(F133=40,_xlfn.IFS(G133&gt;=25,"畅通",AND(G133&gt;=20,G133&lt;25),"轻度拥堵",AND(G133&gt;=15,G133&lt;20),"中度拥堵",AND(G133&gt;=0,G133&lt;15),"严重拥堵"),F133&lt;40,_xlfn.IFS(G133&gt;=25,"畅通",AND(G133&gt;=20,G133&lt;25),"轻度拥堵",AND(G133&gt;=10,G133&lt;20),"中度拥堵",AND(G133&gt;=0,G133&lt;10),"严重拥堵"),F133=50,_xlfn.IFS(G133&gt;=30,"畅通",AND(G133&gt;=25,G133&lt;30),"轻度拥堵",AND(G133&gt;=15,G133&lt;25),"中度拥堵",AND(G133&gt;=0,G133&lt;15),"严重拥堵"),F133=60,_xlfn.IFS(G133&gt;=35,"畅通",AND(G133&gt;=30,G133&lt;35),"轻度拥堵",AND(G133&gt;=20,G133&lt;30),"中度拥堵",AND(G133&gt;=0,G133&lt;20),"严重拥堵"),F133=70,_xlfn.IFS(G133&gt;=40,"畅通",AND(G133&gt;=30,G133&lt;40),"轻度拥堵",AND(G133&gt;=20,G133&lt;30),"中度拥堵",AND(G133&gt;=0,G133&lt;20),"严重拥堵"),F133=80,_xlfn.IFS(G133&gt;=45,"畅通",AND(G133&gt;=30,G133&lt;45),"轻度拥堵",AND(G133&gt;=20,G133&lt;30),"中度拥堵",AND(G133&gt;=0,G133&lt;20),"严重拥堵")),_xlfn.IFS(F133&lt;60,_xlfn.IFS(G133&gt;=40,"畅通",AND(G133&gt;=30,G133&lt;40),"轻度拥堵",AND(G133&gt;=20,G133&lt;30),"中度拥堵",AND(G133&gt;=0,G133&lt;20),"严重拥堵"),F133=60,_xlfn.IFS(G133&gt;=40,"畅通",AND(G133&gt;=30,G133&lt;40),"轻度拥堵",AND(G133&gt;=20,G133&lt;30),"中度拥堵",AND(G133&gt;=0,G133&lt;20),"严重拥堵"),F133=70,_xlfn.IFS(G133&gt;=45,"畅通",AND(G133&gt;=30,G133&lt;45),"轻度拥堵",AND(G133&gt;=20,G133&lt;30),"中度拥堵",AND(G133&gt;=0,G133&lt;20),"严重拥堵"),F133=80,_xlfn.IFS(G133&gt;=50,"畅通",AND(G133&gt;=35,G133&lt;50),"轻度拥堵",AND(G133&gt;=20,G133&lt;35),"中度拥堵",AND(G133&gt;=0,G133&lt;20),"严重拥堵"),F133=90,_xlfn.IFS(G133&gt;=55,"畅通",AND(G133&gt;=35,G133&lt;55),"轻度拥堵",AND(G133&gt;=20,G133&lt;35),"中度拥堵",AND(G133&gt;=0,G133&lt;20),"严重拥堵"),F133=100,_xlfn.IFS(G133&gt;=60,"畅通",AND(G133&gt;=40,G133&lt;60),"轻度拥堵",AND(G133&gt;=20,G133&lt;40),"中度拥堵",AND(G133&gt;=0,G133&lt;20),"严重拥堵"),F133=110,_xlfn.IFS(G133&gt;=65,"畅通",AND(G133&gt;=45,G133&lt;65),"轻度拥堵",AND(G133&gt;=25,G133&lt;45),"中度拥堵",AND(G133&gt;=0,G133&lt;25),"严重拥堵"),F133=120,_xlfn.IFS(G133&gt;=70,"畅通",AND(G133&gt;=50,G133&lt;70),"轻度拥堵",AND(G133&gt;=30,G133&lt;50),"中度拥堵",AND(G133&gt;=0,G133&lt;30),"严重拥堵")))</f>
        <v>畅通</v>
      </c>
    </row>
    <row r="134" spans="1:8" x14ac:dyDescent="0.2">
      <c r="A134">
        <v>133</v>
      </c>
      <c r="B134" t="str" cm="1">
        <f t="array" aca="1" ref="B134" ca="1">INDIRECT("r"&amp;RANDBETWEEN(22,23))</f>
        <v>城市快速路</v>
      </c>
      <c r="C134">
        <f t="shared" ca="1" si="27"/>
        <v>153</v>
      </c>
      <c r="D134">
        <f t="shared" ca="1" si="28"/>
        <v>5</v>
      </c>
      <c r="E134">
        <f t="shared" ca="1" si="22"/>
        <v>18.66</v>
      </c>
      <c r="F134" cm="1">
        <f t="array" aca="1" ref="F134" ca="1">INDIRECT("p"&amp;RANDBETWEEN(20,39))</f>
        <v>70</v>
      </c>
      <c r="G134">
        <f t="shared" ca="1" si="26"/>
        <v>41</v>
      </c>
      <c r="H134" t="str" cm="1">
        <f t="array" aca="1" ref="H134" ca="1">IF(OR(B134="主干路",B134="次干路"),_xlfn.IFS(F134=40,_xlfn.IFS(G134&gt;=25,"畅通",AND(G134&gt;=20,G134&lt;25),"轻度拥堵",AND(G134&gt;=15,G134&lt;20),"中度拥堵",AND(G134&gt;=0,G134&lt;15),"严重拥堵"),F134&lt;40,_xlfn.IFS(G134&gt;=25,"畅通",AND(G134&gt;=20,G134&lt;25),"轻度拥堵",AND(G134&gt;=10,G134&lt;20),"中度拥堵",AND(G134&gt;=0,G134&lt;10),"严重拥堵"),F134=50,_xlfn.IFS(G134&gt;=30,"畅通",AND(G134&gt;=25,G134&lt;30),"轻度拥堵",AND(G134&gt;=15,G134&lt;25),"中度拥堵",AND(G134&gt;=0,G134&lt;15),"严重拥堵"),F134=60,_xlfn.IFS(G134&gt;=35,"畅通",AND(G134&gt;=30,G134&lt;35),"轻度拥堵",AND(G134&gt;=20,G134&lt;30),"中度拥堵",AND(G134&gt;=0,G134&lt;20),"严重拥堵"),F134=70,_xlfn.IFS(G134&gt;=40,"畅通",AND(G134&gt;=30,G134&lt;40),"轻度拥堵",AND(G134&gt;=20,G134&lt;30),"中度拥堵",AND(G134&gt;=0,G134&lt;20),"严重拥堵"),F134=80,_xlfn.IFS(G134&gt;=45,"畅通",AND(G134&gt;=30,G134&lt;45),"轻度拥堵",AND(G134&gt;=20,G134&lt;30),"中度拥堵",AND(G134&gt;=0,G134&lt;20),"严重拥堵")),_xlfn.IFS(F134&lt;60,_xlfn.IFS(G134&gt;=40,"畅通",AND(G134&gt;=30,G134&lt;40),"轻度拥堵",AND(G134&gt;=20,G134&lt;30),"中度拥堵",AND(G134&gt;=0,G134&lt;20),"严重拥堵"),F134=60,_xlfn.IFS(G134&gt;=40,"畅通",AND(G134&gt;=30,G134&lt;40),"轻度拥堵",AND(G134&gt;=20,G134&lt;30),"中度拥堵",AND(G134&gt;=0,G134&lt;20),"严重拥堵"),F134=70,_xlfn.IFS(G134&gt;=45,"畅通",AND(G134&gt;=30,G134&lt;45),"轻度拥堵",AND(G134&gt;=20,G134&lt;30),"中度拥堵",AND(G134&gt;=0,G134&lt;20),"严重拥堵"),F134=80,_xlfn.IFS(G134&gt;=50,"畅通",AND(G134&gt;=35,G134&lt;50),"轻度拥堵",AND(G134&gt;=20,G134&lt;35),"中度拥堵",AND(G134&gt;=0,G134&lt;20),"严重拥堵"),F134=90,_xlfn.IFS(G134&gt;=55,"畅通",AND(G134&gt;=35,G134&lt;55),"轻度拥堵",AND(G134&gt;=20,G134&lt;35),"中度拥堵",AND(G134&gt;=0,G134&lt;20),"严重拥堵"),F134=100,_xlfn.IFS(G134&gt;=60,"畅通",AND(G134&gt;=40,G134&lt;60),"轻度拥堵",AND(G134&gt;=20,G134&lt;40),"中度拥堵",AND(G134&gt;=0,G134&lt;20),"严重拥堵"),F134=110,_xlfn.IFS(G134&gt;=65,"畅通",AND(G134&gt;=45,G134&lt;65),"轻度拥堵",AND(G134&gt;=25,G134&lt;45),"中度拥堵",AND(G134&gt;=0,G134&lt;25),"严重拥堵"),F134=120,_xlfn.IFS(G134&gt;=70,"畅通",AND(G134&gt;=50,G134&lt;70),"轻度拥堵",AND(G134&gt;=30,G134&lt;50),"中度拥堵",AND(G134&gt;=0,G134&lt;30),"严重拥堵")))</f>
        <v>轻度拥堵</v>
      </c>
    </row>
    <row r="135" spans="1:8" x14ac:dyDescent="0.2">
      <c r="A135">
        <v>134</v>
      </c>
      <c r="B135" t="str" cm="1">
        <f t="array" aca="1" ref="B135" ca="1">INDIRECT("r"&amp;RANDBETWEEN(22,23))</f>
        <v>城市快速路</v>
      </c>
      <c r="C135">
        <f t="shared" ca="1" si="27"/>
        <v>350</v>
      </c>
      <c r="D135">
        <f t="shared" ca="1" si="28"/>
        <v>3.4</v>
      </c>
      <c r="E135">
        <f t="shared" ca="1" si="22"/>
        <v>170</v>
      </c>
      <c r="F135" cm="1">
        <f t="array" aca="1" ref="F135" ca="1">INDIRECT("p"&amp;RANDBETWEEN(20,39))</f>
        <v>90</v>
      </c>
      <c r="G135">
        <f t="shared" ca="1" si="26"/>
        <v>7</v>
      </c>
      <c r="H135" t="str" cm="1">
        <f t="array" aca="1" ref="H135" ca="1">IF(OR(B135="主干路",B135="次干路"),_xlfn.IFS(F135=40,_xlfn.IFS(G135&gt;=25,"畅通",AND(G135&gt;=20,G135&lt;25),"轻度拥堵",AND(G135&gt;=15,G135&lt;20),"中度拥堵",AND(G135&gt;=0,G135&lt;15),"严重拥堵"),F135&lt;40,_xlfn.IFS(G135&gt;=25,"畅通",AND(G135&gt;=20,G135&lt;25),"轻度拥堵",AND(G135&gt;=10,G135&lt;20),"中度拥堵",AND(G135&gt;=0,G135&lt;10),"严重拥堵"),F135=50,_xlfn.IFS(G135&gt;=30,"畅通",AND(G135&gt;=25,G135&lt;30),"轻度拥堵",AND(G135&gt;=15,G135&lt;25),"中度拥堵",AND(G135&gt;=0,G135&lt;15),"严重拥堵"),F135=60,_xlfn.IFS(G135&gt;=35,"畅通",AND(G135&gt;=30,G135&lt;35),"轻度拥堵",AND(G135&gt;=20,G135&lt;30),"中度拥堵",AND(G135&gt;=0,G135&lt;20),"严重拥堵"),F135=70,_xlfn.IFS(G135&gt;=40,"畅通",AND(G135&gt;=30,G135&lt;40),"轻度拥堵",AND(G135&gt;=20,G135&lt;30),"中度拥堵",AND(G135&gt;=0,G135&lt;20),"严重拥堵"),F135=80,_xlfn.IFS(G135&gt;=45,"畅通",AND(G135&gt;=30,G135&lt;45),"轻度拥堵",AND(G135&gt;=20,G135&lt;30),"中度拥堵",AND(G135&gt;=0,G135&lt;20),"严重拥堵")),_xlfn.IFS(F135&lt;60,_xlfn.IFS(G135&gt;=40,"畅通",AND(G135&gt;=30,G135&lt;40),"轻度拥堵",AND(G135&gt;=20,G135&lt;30),"中度拥堵",AND(G135&gt;=0,G135&lt;20),"严重拥堵"),F135=60,_xlfn.IFS(G135&gt;=40,"畅通",AND(G135&gt;=30,G135&lt;40),"轻度拥堵",AND(G135&gt;=20,G135&lt;30),"中度拥堵",AND(G135&gt;=0,G135&lt;20),"严重拥堵"),F135=70,_xlfn.IFS(G135&gt;=45,"畅通",AND(G135&gt;=30,G135&lt;45),"轻度拥堵",AND(G135&gt;=20,G135&lt;30),"中度拥堵",AND(G135&gt;=0,G135&lt;20),"严重拥堵"),F135=80,_xlfn.IFS(G135&gt;=50,"畅通",AND(G135&gt;=35,G135&lt;50),"轻度拥堵",AND(G135&gt;=20,G135&lt;35),"中度拥堵",AND(G135&gt;=0,G135&lt;20),"严重拥堵"),F135=90,_xlfn.IFS(G135&gt;=55,"畅通",AND(G135&gt;=35,G135&lt;55),"轻度拥堵",AND(G135&gt;=20,G135&lt;35),"中度拥堵",AND(G135&gt;=0,G135&lt;20),"严重拥堵"),F135=100,_xlfn.IFS(G135&gt;=60,"畅通",AND(G135&gt;=40,G135&lt;60),"轻度拥堵",AND(G135&gt;=20,G135&lt;40),"中度拥堵",AND(G135&gt;=0,G135&lt;20),"严重拥堵"),F135=110,_xlfn.IFS(G135&gt;=65,"畅通",AND(G135&gt;=45,G135&lt;65),"轻度拥堵",AND(G135&gt;=25,G135&lt;45),"中度拥堵",AND(G135&gt;=0,G135&lt;25),"严重拥堵"),F135=120,_xlfn.IFS(G135&gt;=70,"畅通",AND(G135&gt;=50,G135&lt;70),"轻度拥堵",AND(G135&gt;=30,G135&lt;50),"中度拥堵",AND(G135&gt;=0,G135&lt;30),"严重拥堵")))</f>
        <v>严重拥堵</v>
      </c>
    </row>
    <row r="136" spans="1:8" x14ac:dyDescent="0.2">
      <c r="A136">
        <v>135</v>
      </c>
      <c r="B136" t="str" cm="1">
        <f t="array" aca="1" ref="B136" ca="1">INDIRECT("r"&amp;RANDBETWEEN(22,23))</f>
        <v>公路</v>
      </c>
      <c r="C136">
        <f t="shared" ca="1" si="27"/>
        <v>229</v>
      </c>
      <c r="D136">
        <f t="shared" ca="1" si="28"/>
        <v>4.7</v>
      </c>
      <c r="E136">
        <f t="shared" ca="1" si="22"/>
        <v>12.37</v>
      </c>
      <c r="F136" cm="1">
        <f t="array" aca="1" ref="F136" ca="1">INDIRECT("p"&amp;RANDBETWEEN(20,39))</f>
        <v>100</v>
      </c>
      <c r="G136">
        <f t="shared" ca="1" si="26"/>
        <v>87</v>
      </c>
      <c r="H136" t="str" cm="1">
        <f t="array" aca="1" ref="H136" ca="1">IF(OR(B136="主干路",B136="次干路"),_xlfn.IFS(F136=40,_xlfn.IFS(G136&gt;=25,"畅通",AND(G136&gt;=20,G136&lt;25),"轻度拥堵",AND(G136&gt;=15,G136&lt;20),"中度拥堵",AND(G136&gt;=0,G136&lt;15),"严重拥堵"),F136&lt;40,_xlfn.IFS(G136&gt;=25,"畅通",AND(G136&gt;=20,G136&lt;25),"轻度拥堵",AND(G136&gt;=10,G136&lt;20),"中度拥堵",AND(G136&gt;=0,G136&lt;10),"严重拥堵"),F136=50,_xlfn.IFS(G136&gt;=30,"畅通",AND(G136&gt;=25,G136&lt;30),"轻度拥堵",AND(G136&gt;=15,G136&lt;25),"中度拥堵",AND(G136&gt;=0,G136&lt;15),"严重拥堵"),F136=60,_xlfn.IFS(G136&gt;=35,"畅通",AND(G136&gt;=30,G136&lt;35),"轻度拥堵",AND(G136&gt;=20,G136&lt;30),"中度拥堵",AND(G136&gt;=0,G136&lt;20),"严重拥堵"),F136=70,_xlfn.IFS(G136&gt;=40,"畅通",AND(G136&gt;=30,G136&lt;40),"轻度拥堵",AND(G136&gt;=20,G136&lt;30),"中度拥堵",AND(G136&gt;=0,G136&lt;20),"严重拥堵"),F136=80,_xlfn.IFS(G136&gt;=45,"畅通",AND(G136&gt;=30,G136&lt;45),"轻度拥堵",AND(G136&gt;=20,G136&lt;30),"中度拥堵",AND(G136&gt;=0,G136&lt;20),"严重拥堵")),_xlfn.IFS(F136&lt;60,_xlfn.IFS(G136&gt;=40,"畅通",AND(G136&gt;=30,G136&lt;40),"轻度拥堵",AND(G136&gt;=20,G136&lt;30),"中度拥堵",AND(G136&gt;=0,G136&lt;20),"严重拥堵"),F136=60,_xlfn.IFS(G136&gt;=40,"畅通",AND(G136&gt;=30,G136&lt;40),"轻度拥堵",AND(G136&gt;=20,G136&lt;30),"中度拥堵",AND(G136&gt;=0,G136&lt;20),"严重拥堵"),F136=70,_xlfn.IFS(G136&gt;=45,"畅通",AND(G136&gt;=30,G136&lt;45),"轻度拥堵",AND(G136&gt;=20,G136&lt;30),"中度拥堵",AND(G136&gt;=0,G136&lt;20),"严重拥堵"),F136=80,_xlfn.IFS(G136&gt;=50,"畅通",AND(G136&gt;=35,G136&lt;50),"轻度拥堵",AND(G136&gt;=20,G136&lt;35),"中度拥堵",AND(G136&gt;=0,G136&lt;20),"严重拥堵"),F136=90,_xlfn.IFS(G136&gt;=55,"畅通",AND(G136&gt;=35,G136&lt;55),"轻度拥堵",AND(G136&gt;=20,G136&lt;35),"中度拥堵",AND(G136&gt;=0,G136&lt;20),"严重拥堵"),F136=100,_xlfn.IFS(G136&gt;=60,"畅通",AND(G136&gt;=40,G136&lt;60),"轻度拥堵",AND(G136&gt;=20,G136&lt;40),"中度拥堵",AND(G136&gt;=0,G136&lt;20),"严重拥堵"),F136=110,_xlfn.IFS(G136&gt;=65,"畅通",AND(G136&gt;=45,G136&lt;65),"轻度拥堵",AND(G136&gt;=25,G136&lt;45),"中度拥堵",AND(G136&gt;=0,G136&lt;25),"严重拥堵"),F136=120,_xlfn.IFS(G136&gt;=70,"畅通",AND(G136&gt;=50,G136&lt;70),"轻度拥堵",AND(G136&gt;=30,G136&lt;50),"中度拥堵",AND(G136&gt;=0,G136&lt;30),"严重拥堵")))</f>
        <v>畅通</v>
      </c>
    </row>
    <row r="137" spans="1:8" x14ac:dyDescent="0.2">
      <c r="A137">
        <v>136</v>
      </c>
      <c r="B137" t="str" cm="1">
        <f t="array" aca="1" ref="B137" ca="1">INDIRECT("s"&amp;RANDBETWEEN(22,23))</f>
        <v>次干路</v>
      </c>
      <c r="C137">
        <f t="shared" ref="C137:C147" ca="1" si="29">RANDBETWEEN(78,182)</f>
        <v>169</v>
      </c>
      <c r="D137">
        <f t="shared" ref="D137:D147" ca="1" si="30">RANDBETWEEN(5,30)/10</f>
        <v>1.9</v>
      </c>
      <c r="E137">
        <f t="shared" ref="E137:E168" ca="1" si="31">ROUND(C137*D137/G137,2)</f>
        <v>6.69</v>
      </c>
      <c r="F137" cm="1">
        <f t="array" aca="1" ref="F137" ca="1">INDIRECT("q"&amp;RANDBETWEEN(20,38))</f>
        <v>70</v>
      </c>
      <c r="G137">
        <f t="shared" ca="1" si="26"/>
        <v>48</v>
      </c>
      <c r="H137" t="str" cm="1">
        <f t="array" aca="1" ref="H137" ca="1">IF(OR(B137="主干路",B137="次干路"),_xlfn.IFS(F137=40,_xlfn.IFS(G137&gt;=25,"畅通",AND(G137&gt;=20,G137&lt;25),"轻度拥堵",AND(G137&gt;=15,G137&lt;20),"中度拥堵",AND(G137&gt;=0,G137&lt;15),"严重拥堵"),F137&lt;40,_xlfn.IFS(G137&gt;=25,"畅通",AND(G137&gt;=20,G137&lt;25),"轻度拥堵",AND(G137&gt;=10,G137&lt;20),"中度拥堵",AND(G137&gt;=0,G137&lt;10),"严重拥堵"),F137=50,_xlfn.IFS(G137&gt;=30,"畅通",AND(G137&gt;=25,G137&lt;30),"轻度拥堵",AND(G137&gt;=15,G137&lt;25),"中度拥堵",AND(G137&gt;=0,G137&lt;15),"严重拥堵"),F137=60,_xlfn.IFS(G137&gt;=35,"畅通",AND(G137&gt;=30,G137&lt;35),"轻度拥堵",AND(G137&gt;=20,G137&lt;30),"中度拥堵",AND(G137&gt;=0,G137&lt;20),"严重拥堵"),F137=70,_xlfn.IFS(G137&gt;=40,"畅通",AND(G137&gt;=30,G137&lt;40),"轻度拥堵",AND(G137&gt;=20,G137&lt;30),"中度拥堵",AND(G137&gt;=0,G137&lt;20),"严重拥堵"),F137=80,_xlfn.IFS(G137&gt;=45,"畅通",AND(G137&gt;=30,G137&lt;45),"轻度拥堵",AND(G137&gt;=20,G137&lt;30),"中度拥堵",AND(G137&gt;=0,G137&lt;20),"严重拥堵")),_xlfn.IFS(F137&lt;60,_xlfn.IFS(G137&gt;=40,"畅通",AND(G137&gt;=30,G137&lt;40),"轻度拥堵",AND(G137&gt;=20,G137&lt;30),"中度拥堵",AND(G137&gt;=0,G137&lt;20),"严重拥堵"),F137=60,_xlfn.IFS(G137&gt;=40,"畅通",AND(G137&gt;=30,G137&lt;40),"轻度拥堵",AND(G137&gt;=20,G137&lt;30),"中度拥堵",AND(G137&gt;=0,G137&lt;20),"严重拥堵"),F137=70,_xlfn.IFS(G137&gt;=45,"畅通",AND(G137&gt;=20,G137&lt;25),"轻度拥堵",AND(G137&gt;=10,G137&lt;20),"中度拥堵",AND(G137&gt;=0,G137&lt;10),"严重拥堵"),F137=80,_xlfn.IFS(G137&gt;=50,"畅通",AND(G137&gt;=35,G137&lt;50),"轻度拥堵",AND(G137&gt;=20,G137&lt;35),"中度拥堵",AND(G137&gt;=0,G137&lt;20),"严重拥堵"),F137=90,_xlfn.IFS(G137&gt;=55,"畅通",AND(G137&gt;=35,G137&lt;55),"轻度拥堵",AND(G137&gt;=20,G137&lt;35),"中度拥堵",AND(G137&gt;=0,G137&lt;20),"严重拥堵"),F137=100,_xlfn.IFS(G137&gt;=60,"畅通",AND(G137&gt;=40,G137&lt;60),"轻度拥堵",AND(G137&gt;=20,G137&lt;40),"中度拥堵",AND(G137&gt;=0,G137&lt;20),"严重拥堵"),F137=110,_xlfn.IFS(G137&gt;=65,"畅通",AND(G137&gt;=45,G137&lt;65),"轻度拥堵",AND(G137&gt;=25,G137&lt;45),"中度拥堵",AND(G137&gt;=0,G137&lt;25),"严重拥堵"),F137=120,_xlfn.IFS(G137&gt;=70,"畅通",AND(G137&gt;=50,G137&lt;70),"轻度拥堵",AND(G137&gt;=30,G137&lt;50),"中度拥堵",AND(G137&gt;=0,G137&lt;30),"严重拥堵")))</f>
        <v>畅通</v>
      </c>
    </row>
    <row r="138" spans="1:8" x14ac:dyDescent="0.2">
      <c r="A138">
        <v>137</v>
      </c>
      <c r="B138" t="str" cm="1">
        <f t="array" aca="1" ref="B138" ca="1">INDIRECT("s"&amp;RANDBETWEEN(22,23))</f>
        <v>次干路</v>
      </c>
      <c r="C138">
        <f t="shared" ca="1" si="29"/>
        <v>164</v>
      </c>
      <c r="D138">
        <f t="shared" ca="1" si="30"/>
        <v>0.9</v>
      </c>
      <c r="E138">
        <f t="shared" ca="1" si="31"/>
        <v>2.5</v>
      </c>
      <c r="F138" cm="1">
        <f t="array" aca="1" ref="F138" ca="1">INDIRECT("q"&amp;RANDBETWEEN(20,38))</f>
        <v>60</v>
      </c>
      <c r="G138">
        <f t="shared" ca="1" si="26"/>
        <v>59</v>
      </c>
      <c r="H138" t="str" cm="1">
        <f t="array" aca="1" ref="H138" ca="1">IF(OR(B138="主干路",B138="次干路"),_xlfn.IFS(F138=40,_xlfn.IFS(G138&gt;=25,"畅通",AND(G138&gt;=20,G138&lt;25),"轻度拥堵",AND(G138&gt;=15,G138&lt;20),"中度拥堵",AND(G138&gt;=0,G138&lt;15),"严重拥堵"),F138&lt;40,_xlfn.IFS(G138&gt;=25,"畅通",AND(G138&gt;=20,G138&lt;25),"轻度拥堵",AND(G138&gt;=10,G138&lt;20),"中度拥堵",AND(G138&gt;=0,G138&lt;10),"严重拥堵"),F138=50,_xlfn.IFS(G138&gt;=30,"畅通",AND(G138&gt;=25,G138&lt;30),"轻度拥堵",AND(G138&gt;=15,G138&lt;25),"中度拥堵",AND(G138&gt;=0,G138&lt;15),"严重拥堵"),F138=60,_xlfn.IFS(G138&gt;=35,"畅通",AND(G138&gt;=30,G138&lt;35),"轻度拥堵",AND(G138&gt;=20,G138&lt;30),"中度拥堵",AND(G138&gt;=0,G138&lt;20),"严重拥堵"),F138=70,_xlfn.IFS(G138&gt;=40,"畅通",AND(G138&gt;=30,G138&lt;40),"轻度拥堵",AND(G138&gt;=20,G138&lt;30),"中度拥堵",AND(G138&gt;=0,G138&lt;20),"严重拥堵"),F138=80,_xlfn.IFS(G138&gt;=45,"畅通",AND(G138&gt;=30,G138&lt;45),"轻度拥堵",AND(G138&gt;=20,G138&lt;30),"中度拥堵",AND(G138&gt;=0,G138&lt;20),"严重拥堵")),_xlfn.IFS(F138&lt;60,_xlfn.IFS(G138&gt;=40,"畅通",AND(G138&gt;=30,G138&lt;40),"轻度拥堵",AND(G138&gt;=20,G138&lt;30),"中度拥堵",AND(G138&gt;=0,G138&lt;20),"严重拥堵"),F138=60,_xlfn.IFS(G138&gt;=40,"畅通",AND(G138&gt;=30,G138&lt;40),"轻度拥堵",AND(G138&gt;=20,G138&lt;30),"中度拥堵",AND(G138&gt;=0,G138&lt;20),"严重拥堵"),F138=70,_xlfn.IFS(G138&gt;=45,"畅通",AND(G138&gt;=20,G138&lt;25),"轻度拥堵",AND(G138&gt;=10,G138&lt;20),"中度拥堵",AND(G138&gt;=0,G138&lt;10),"严重拥堵"),F138=80,_xlfn.IFS(G138&gt;=50,"畅通",AND(G138&gt;=35,G138&lt;50),"轻度拥堵",AND(G138&gt;=20,G138&lt;35),"中度拥堵",AND(G138&gt;=0,G138&lt;20),"严重拥堵"),F138=90,_xlfn.IFS(G138&gt;=55,"畅通",AND(G138&gt;=35,G138&lt;55),"轻度拥堵",AND(G138&gt;=20,G138&lt;35),"中度拥堵",AND(G138&gt;=0,G138&lt;20),"严重拥堵"),F138=100,_xlfn.IFS(G138&gt;=60,"畅通",AND(G138&gt;=40,G138&lt;60),"轻度拥堵",AND(G138&gt;=20,G138&lt;40),"中度拥堵",AND(G138&gt;=0,G138&lt;20),"严重拥堵"),F138=110,_xlfn.IFS(G138&gt;=65,"畅通",AND(G138&gt;=45,G138&lt;65),"轻度拥堵",AND(G138&gt;=25,G138&lt;45),"中度拥堵",AND(G138&gt;=0,G138&lt;25),"严重拥堵"),F138=120,_xlfn.IFS(G138&gt;=70,"畅通",AND(G138&gt;=50,G138&lt;70),"轻度拥堵",AND(G138&gt;=30,G138&lt;50),"中度拥堵",AND(G138&gt;=0,G138&lt;30),"严重拥堵")))</f>
        <v>畅通</v>
      </c>
    </row>
    <row r="139" spans="1:8" x14ac:dyDescent="0.2">
      <c r="A139">
        <v>138</v>
      </c>
      <c r="B139" t="str" cm="1">
        <f t="array" aca="1" ref="B139" ca="1">INDIRECT("s"&amp;RANDBETWEEN(22,23))</f>
        <v>次干路</v>
      </c>
      <c r="C139">
        <f t="shared" ca="1" si="29"/>
        <v>112</v>
      </c>
      <c r="D139">
        <f t="shared" ca="1" si="30"/>
        <v>2.1</v>
      </c>
      <c r="E139">
        <f t="shared" ca="1" si="31"/>
        <v>4.6100000000000003</v>
      </c>
      <c r="F139" cm="1">
        <f t="array" aca="1" ref="F139" ca="1">INDIRECT("q"&amp;RANDBETWEEN(20,38))</f>
        <v>60</v>
      </c>
      <c r="G139">
        <f t="shared" ca="1" si="26"/>
        <v>51</v>
      </c>
      <c r="H139" t="str" cm="1">
        <f t="array" aca="1" ref="H139" ca="1">IF(OR(B139="主干路",B139="次干路"),_xlfn.IFS(F139=40,_xlfn.IFS(G139&gt;=25,"畅通",AND(G139&gt;=20,G139&lt;25),"轻度拥堵",AND(G139&gt;=15,G139&lt;20),"中度拥堵",AND(G139&gt;=0,G139&lt;15),"严重拥堵"),F139&lt;40,_xlfn.IFS(G139&gt;=25,"畅通",AND(G139&gt;=20,G139&lt;25),"轻度拥堵",AND(G139&gt;=10,G139&lt;20),"中度拥堵",AND(G139&gt;=0,G139&lt;10),"严重拥堵"),F139=50,_xlfn.IFS(G139&gt;=30,"畅通",AND(G139&gt;=25,G139&lt;30),"轻度拥堵",AND(G139&gt;=15,G139&lt;25),"中度拥堵",AND(G139&gt;=0,G139&lt;15),"严重拥堵"),F139=60,_xlfn.IFS(G139&gt;=35,"畅通",AND(G139&gt;=30,G139&lt;35),"轻度拥堵",AND(G139&gt;=20,G139&lt;30),"中度拥堵",AND(G139&gt;=0,G139&lt;20),"严重拥堵"),F139=70,_xlfn.IFS(G139&gt;=40,"畅通",AND(G139&gt;=30,G139&lt;40),"轻度拥堵",AND(G139&gt;=20,G139&lt;30),"中度拥堵",AND(G139&gt;=0,G139&lt;20),"严重拥堵"),F139=80,_xlfn.IFS(G139&gt;=45,"畅通",AND(G139&gt;=30,G139&lt;45),"轻度拥堵",AND(G139&gt;=20,G139&lt;30),"中度拥堵",AND(G139&gt;=0,G139&lt;20),"严重拥堵")),_xlfn.IFS(F139&lt;60,_xlfn.IFS(G139&gt;=40,"畅通",AND(G139&gt;=30,G139&lt;40),"轻度拥堵",AND(G139&gt;=20,G139&lt;30),"中度拥堵",AND(G139&gt;=0,G139&lt;20),"严重拥堵"),F139=60,_xlfn.IFS(G139&gt;=40,"畅通",AND(G139&gt;=30,G139&lt;40),"轻度拥堵",AND(G139&gt;=20,G139&lt;30),"中度拥堵",AND(G139&gt;=0,G139&lt;20),"严重拥堵"),F139=70,_xlfn.IFS(G139&gt;=45,"畅通",AND(G139&gt;=20,G139&lt;25),"轻度拥堵",AND(G139&gt;=10,G139&lt;20),"中度拥堵",AND(G139&gt;=0,G139&lt;10),"严重拥堵"),F139=80,_xlfn.IFS(G139&gt;=50,"畅通",AND(G139&gt;=35,G139&lt;50),"轻度拥堵",AND(G139&gt;=20,G139&lt;35),"中度拥堵",AND(G139&gt;=0,G139&lt;20),"严重拥堵"),F139=90,_xlfn.IFS(G139&gt;=55,"畅通",AND(G139&gt;=35,G139&lt;55),"轻度拥堵",AND(G139&gt;=20,G139&lt;35),"中度拥堵",AND(G139&gt;=0,G139&lt;20),"严重拥堵"),F139=100,_xlfn.IFS(G139&gt;=60,"畅通",AND(G139&gt;=40,G139&lt;60),"轻度拥堵",AND(G139&gt;=20,G139&lt;40),"中度拥堵",AND(G139&gt;=0,G139&lt;20),"严重拥堵"),F139=110,_xlfn.IFS(G139&gt;=65,"畅通",AND(G139&gt;=45,G139&lt;65),"轻度拥堵",AND(G139&gt;=25,G139&lt;45),"中度拥堵",AND(G139&gt;=0,G139&lt;25),"严重拥堵"),F139=120,_xlfn.IFS(G139&gt;=70,"畅通",AND(G139&gt;=50,G139&lt;70),"轻度拥堵",AND(G139&gt;=30,G139&lt;50),"中度拥堵",AND(G139&gt;=0,G139&lt;30),"严重拥堵")))</f>
        <v>畅通</v>
      </c>
    </row>
    <row r="140" spans="1:8" x14ac:dyDescent="0.2">
      <c r="A140">
        <v>139</v>
      </c>
      <c r="B140" t="str" cm="1">
        <f t="array" aca="1" ref="B140" ca="1">INDIRECT("s"&amp;RANDBETWEEN(22,23))</f>
        <v>主干路</v>
      </c>
      <c r="C140">
        <f t="shared" ca="1" si="29"/>
        <v>113</v>
      </c>
      <c r="D140">
        <f t="shared" ca="1" si="30"/>
        <v>0.8</v>
      </c>
      <c r="E140">
        <f t="shared" ca="1" si="31"/>
        <v>12.91</v>
      </c>
      <c r="F140" cm="1">
        <f t="array" aca="1" ref="F140" ca="1">INDIRECT("q"&amp;RANDBETWEEN(20,38))</f>
        <v>60</v>
      </c>
      <c r="G140">
        <f t="shared" ca="1" si="26"/>
        <v>7</v>
      </c>
      <c r="H140" t="str" cm="1">
        <f t="array" aca="1" ref="H140" ca="1">IF(OR(B140="主干路",B140="次干路"),_xlfn.IFS(F140=40,_xlfn.IFS(G140&gt;=25,"畅通",AND(G140&gt;=20,G140&lt;25),"轻度拥堵",AND(G140&gt;=15,G140&lt;20),"中度拥堵",AND(G140&gt;=0,G140&lt;15),"严重拥堵"),F140&lt;40,_xlfn.IFS(G140&gt;=25,"畅通",AND(G140&gt;=20,G140&lt;25),"轻度拥堵",AND(G140&gt;=10,G140&lt;20),"中度拥堵",AND(G140&gt;=0,G140&lt;10),"严重拥堵"),F140=50,_xlfn.IFS(G140&gt;=30,"畅通",AND(G140&gt;=25,G140&lt;30),"轻度拥堵",AND(G140&gt;=15,G140&lt;25),"中度拥堵",AND(G140&gt;=0,G140&lt;15),"严重拥堵"),F140=60,_xlfn.IFS(G140&gt;=35,"畅通",AND(G140&gt;=30,G140&lt;35),"轻度拥堵",AND(G140&gt;=20,G140&lt;30),"中度拥堵",AND(G140&gt;=0,G140&lt;20),"严重拥堵"),F140=70,_xlfn.IFS(G140&gt;=40,"畅通",AND(G140&gt;=30,G140&lt;40),"轻度拥堵",AND(G140&gt;=20,G140&lt;30),"中度拥堵",AND(G140&gt;=0,G140&lt;20),"严重拥堵"),F140=80,_xlfn.IFS(G140&gt;=45,"畅通",AND(G140&gt;=30,G140&lt;45),"轻度拥堵",AND(G140&gt;=20,G140&lt;30),"中度拥堵",AND(G140&gt;=0,G140&lt;20),"严重拥堵")),_xlfn.IFS(F140&lt;60,_xlfn.IFS(G140&gt;=40,"畅通",AND(G140&gt;=30,G140&lt;40),"轻度拥堵",AND(G140&gt;=20,G140&lt;30),"中度拥堵",AND(G140&gt;=0,G140&lt;20),"严重拥堵"),F140=60,_xlfn.IFS(G140&gt;=40,"畅通",AND(G140&gt;=30,G140&lt;40),"轻度拥堵",AND(G140&gt;=20,G140&lt;30),"中度拥堵",AND(G140&gt;=0,G140&lt;20),"严重拥堵"),F140=70,_xlfn.IFS(G140&gt;=45,"畅通",AND(G140&gt;=20,G140&lt;25),"轻度拥堵",AND(G140&gt;=10,G140&lt;20),"中度拥堵",AND(G140&gt;=0,G140&lt;10),"严重拥堵"),F140=80,_xlfn.IFS(G140&gt;=50,"畅通",AND(G140&gt;=35,G140&lt;50),"轻度拥堵",AND(G140&gt;=20,G140&lt;35),"中度拥堵",AND(G140&gt;=0,G140&lt;20),"严重拥堵"),F140=90,_xlfn.IFS(G140&gt;=55,"畅通",AND(G140&gt;=35,G140&lt;55),"轻度拥堵",AND(G140&gt;=20,G140&lt;35),"中度拥堵",AND(G140&gt;=0,G140&lt;20),"严重拥堵"),F140=100,_xlfn.IFS(G140&gt;=60,"畅通",AND(G140&gt;=40,G140&lt;60),"轻度拥堵",AND(G140&gt;=20,G140&lt;40),"中度拥堵",AND(G140&gt;=0,G140&lt;20),"严重拥堵"),F140=110,_xlfn.IFS(G140&gt;=65,"畅通",AND(G140&gt;=45,G140&lt;65),"轻度拥堵",AND(G140&gt;=25,G140&lt;45),"中度拥堵",AND(G140&gt;=0,G140&lt;25),"严重拥堵"),F140=120,_xlfn.IFS(G140&gt;=70,"畅通",AND(G140&gt;=50,G140&lt;70),"轻度拥堵",AND(G140&gt;=30,G140&lt;50),"中度拥堵",AND(G140&gt;=0,G140&lt;30),"严重拥堵")))</f>
        <v>严重拥堵</v>
      </c>
    </row>
    <row r="141" spans="1:8" x14ac:dyDescent="0.2">
      <c r="A141">
        <v>140</v>
      </c>
      <c r="B141" t="str" cm="1">
        <f t="array" aca="1" ref="B141" ca="1">INDIRECT("s"&amp;RANDBETWEEN(22,23))</f>
        <v>主干路</v>
      </c>
      <c r="C141">
        <f t="shared" ca="1" si="29"/>
        <v>164</v>
      </c>
      <c r="D141">
        <f t="shared" ca="1" si="30"/>
        <v>0.8</v>
      </c>
      <c r="E141">
        <f t="shared" ca="1" si="31"/>
        <v>5.05</v>
      </c>
      <c r="F141" cm="1">
        <f t="array" aca="1" ref="F141" ca="1">INDIRECT("q"&amp;RANDBETWEEN(20,38))</f>
        <v>80</v>
      </c>
      <c r="G141">
        <f t="shared" ca="1" si="26"/>
        <v>26</v>
      </c>
      <c r="H141" t="str" cm="1">
        <f t="array" aca="1" ref="H141" ca="1">IF(OR(B141="主干路",B141="次干路"),_xlfn.IFS(F141=40,_xlfn.IFS(G141&gt;=25,"畅通",AND(G141&gt;=20,G141&lt;25),"轻度拥堵",AND(G141&gt;=15,G141&lt;20),"中度拥堵",AND(G141&gt;=0,G141&lt;15),"严重拥堵"),F141&lt;40,_xlfn.IFS(G141&gt;=25,"畅通",AND(G141&gt;=20,G141&lt;25),"轻度拥堵",AND(G141&gt;=10,G141&lt;20),"中度拥堵",AND(G141&gt;=0,G141&lt;10),"严重拥堵"),F141=50,_xlfn.IFS(G141&gt;=30,"畅通",AND(G141&gt;=25,G141&lt;30),"轻度拥堵",AND(G141&gt;=15,G141&lt;25),"中度拥堵",AND(G141&gt;=0,G141&lt;15),"严重拥堵"),F141=60,_xlfn.IFS(G141&gt;=35,"畅通",AND(G141&gt;=30,G141&lt;35),"轻度拥堵",AND(G141&gt;=20,G141&lt;30),"中度拥堵",AND(G141&gt;=0,G141&lt;20),"严重拥堵"),F141=70,_xlfn.IFS(G141&gt;=40,"畅通",AND(G141&gt;=30,G141&lt;40),"轻度拥堵",AND(G141&gt;=20,G141&lt;30),"中度拥堵",AND(G141&gt;=0,G141&lt;20),"严重拥堵"),F141=80,_xlfn.IFS(G141&gt;=45,"畅通",AND(G141&gt;=30,G141&lt;45),"轻度拥堵",AND(G141&gt;=20,G141&lt;30),"中度拥堵",AND(G141&gt;=0,G141&lt;20),"严重拥堵")),_xlfn.IFS(F141&lt;60,_xlfn.IFS(G141&gt;=40,"畅通",AND(G141&gt;=30,G141&lt;40),"轻度拥堵",AND(G141&gt;=20,G141&lt;30),"中度拥堵",AND(G141&gt;=0,G141&lt;20),"严重拥堵"),F141=60,_xlfn.IFS(G141&gt;=40,"畅通",AND(G141&gt;=30,G141&lt;40),"轻度拥堵",AND(G141&gt;=20,G141&lt;30),"中度拥堵",AND(G141&gt;=0,G141&lt;20),"严重拥堵"),F141=70,_xlfn.IFS(G141&gt;=45,"畅通",AND(G141&gt;=20,G141&lt;25),"轻度拥堵",AND(G141&gt;=10,G141&lt;20),"中度拥堵",AND(G141&gt;=0,G141&lt;10),"严重拥堵"),F141=80,_xlfn.IFS(G141&gt;=50,"畅通",AND(G141&gt;=35,G141&lt;50),"轻度拥堵",AND(G141&gt;=20,G141&lt;35),"中度拥堵",AND(G141&gt;=0,G141&lt;20),"严重拥堵"),F141=90,_xlfn.IFS(G141&gt;=55,"畅通",AND(G141&gt;=35,G141&lt;55),"轻度拥堵",AND(G141&gt;=20,G141&lt;35),"中度拥堵",AND(G141&gt;=0,G141&lt;20),"严重拥堵"),F141=100,_xlfn.IFS(G141&gt;=60,"畅通",AND(G141&gt;=40,G141&lt;60),"轻度拥堵",AND(G141&gt;=20,G141&lt;40),"中度拥堵",AND(G141&gt;=0,G141&lt;20),"严重拥堵"),F141=110,_xlfn.IFS(G141&gt;=65,"畅通",AND(G141&gt;=45,G141&lt;65),"轻度拥堵",AND(G141&gt;=25,G141&lt;45),"中度拥堵",AND(G141&gt;=0,G141&lt;25),"严重拥堵"),F141=120,_xlfn.IFS(G141&gt;=70,"畅通",AND(G141&gt;=50,G141&lt;70),"轻度拥堵",AND(G141&gt;=30,G141&lt;50),"中度拥堵",AND(G141&gt;=0,G141&lt;30),"严重拥堵")))</f>
        <v>中度拥堵</v>
      </c>
    </row>
    <row r="142" spans="1:8" x14ac:dyDescent="0.2">
      <c r="A142">
        <v>141</v>
      </c>
      <c r="B142" t="str" cm="1">
        <f t="array" aca="1" ref="B142" ca="1">INDIRECT("s"&amp;RANDBETWEEN(22,23))</f>
        <v>主干路</v>
      </c>
      <c r="C142">
        <f t="shared" ca="1" si="29"/>
        <v>126</v>
      </c>
      <c r="D142">
        <f t="shared" ca="1" si="30"/>
        <v>2.7</v>
      </c>
      <c r="E142">
        <f t="shared" ca="1" si="31"/>
        <v>8.51</v>
      </c>
      <c r="F142" cm="1">
        <f t="array" aca="1" ref="F142" ca="1">INDIRECT("q"&amp;RANDBETWEEN(20,38))</f>
        <v>60</v>
      </c>
      <c r="G142">
        <f t="shared" ca="1" si="26"/>
        <v>40</v>
      </c>
      <c r="H142" t="str" cm="1">
        <f t="array" aca="1" ref="H142" ca="1">IF(OR(B142="主干路",B142="次干路"),_xlfn.IFS(F142=40,_xlfn.IFS(G142&gt;=25,"畅通",AND(G142&gt;=20,G142&lt;25),"轻度拥堵",AND(G142&gt;=15,G142&lt;20),"中度拥堵",AND(G142&gt;=0,G142&lt;15),"严重拥堵"),F142&lt;40,_xlfn.IFS(G142&gt;=25,"畅通",AND(G142&gt;=20,G142&lt;25),"轻度拥堵",AND(G142&gt;=10,G142&lt;20),"中度拥堵",AND(G142&gt;=0,G142&lt;10),"严重拥堵"),F142=50,_xlfn.IFS(G142&gt;=30,"畅通",AND(G142&gt;=25,G142&lt;30),"轻度拥堵",AND(G142&gt;=15,G142&lt;25),"中度拥堵",AND(G142&gt;=0,G142&lt;15),"严重拥堵"),F142=60,_xlfn.IFS(G142&gt;=35,"畅通",AND(G142&gt;=30,G142&lt;35),"轻度拥堵",AND(G142&gt;=20,G142&lt;30),"中度拥堵",AND(G142&gt;=0,G142&lt;20),"严重拥堵"),F142=70,_xlfn.IFS(G142&gt;=40,"畅通",AND(G142&gt;=30,G142&lt;40),"轻度拥堵",AND(G142&gt;=20,G142&lt;30),"中度拥堵",AND(G142&gt;=0,G142&lt;20),"严重拥堵"),F142=80,_xlfn.IFS(G142&gt;=45,"畅通",AND(G142&gt;=30,G142&lt;45),"轻度拥堵",AND(G142&gt;=20,G142&lt;30),"中度拥堵",AND(G142&gt;=0,G142&lt;20),"严重拥堵")),_xlfn.IFS(F142&lt;60,_xlfn.IFS(G142&gt;=40,"畅通",AND(G142&gt;=30,G142&lt;40),"轻度拥堵",AND(G142&gt;=20,G142&lt;30),"中度拥堵",AND(G142&gt;=0,G142&lt;20),"严重拥堵"),F142=60,_xlfn.IFS(G142&gt;=40,"畅通",AND(G142&gt;=30,G142&lt;40),"轻度拥堵",AND(G142&gt;=20,G142&lt;30),"中度拥堵",AND(G142&gt;=0,G142&lt;20),"严重拥堵"),F142=70,_xlfn.IFS(G142&gt;=45,"畅通",AND(G142&gt;=20,G142&lt;25),"轻度拥堵",AND(G142&gt;=10,G142&lt;20),"中度拥堵",AND(G142&gt;=0,G142&lt;10),"严重拥堵"),F142=80,_xlfn.IFS(G142&gt;=50,"畅通",AND(G142&gt;=35,G142&lt;50),"轻度拥堵",AND(G142&gt;=20,G142&lt;35),"中度拥堵",AND(G142&gt;=0,G142&lt;20),"严重拥堵"),F142=90,_xlfn.IFS(G142&gt;=55,"畅通",AND(G142&gt;=35,G142&lt;55),"轻度拥堵",AND(G142&gt;=20,G142&lt;35),"中度拥堵",AND(G142&gt;=0,G142&lt;20),"严重拥堵"),F142=100,_xlfn.IFS(G142&gt;=60,"畅通",AND(G142&gt;=40,G142&lt;60),"轻度拥堵",AND(G142&gt;=20,G142&lt;40),"中度拥堵",AND(G142&gt;=0,G142&lt;20),"严重拥堵"),F142=110,_xlfn.IFS(G142&gt;=65,"畅通",AND(G142&gt;=45,G142&lt;65),"轻度拥堵",AND(G142&gt;=25,G142&lt;45),"中度拥堵",AND(G142&gt;=0,G142&lt;25),"严重拥堵"),F142=120,_xlfn.IFS(G142&gt;=70,"畅通",AND(G142&gt;=50,G142&lt;70),"轻度拥堵",AND(G142&gt;=30,G142&lt;50),"中度拥堵",AND(G142&gt;=0,G142&lt;30),"严重拥堵")))</f>
        <v>畅通</v>
      </c>
    </row>
    <row r="143" spans="1:8" x14ac:dyDescent="0.2">
      <c r="A143">
        <v>142</v>
      </c>
      <c r="B143" t="str" cm="1">
        <f t="array" aca="1" ref="B143" ca="1">INDIRECT("s"&amp;RANDBETWEEN(22,23))</f>
        <v>主干路</v>
      </c>
      <c r="C143">
        <f t="shared" ca="1" si="29"/>
        <v>149</v>
      </c>
      <c r="D143">
        <f t="shared" ca="1" si="30"/>
        <v>2.5</v>
      </c>
      <c r="E143">
        <f t="shared" ca="1" si="31"/>
        <v>53.21</v>
      </c>
      <c r="F143" cm="1">
        <f t="array" aca="1" ref="F143" ca="1">INDIRECT("q"&amp;RANDBETWEEN(20,38))</f>
        <v>70</v>
      </c>
      <c r="G143">
        <f t="shared" ca="1" si="26"/>
        <v>7</v>
      </c>
      <c r="H143" t="str" cm="1">
        <f t="array" aca="1" ref="H143" ca="1">IF(OR(B143="主干路",B143="次干路"),_xlfn.IFS(F143=40,_xlfn.IFS(G143&gt;=25,"畅通",AND(G143&gt;=20,G143&lt;25),"轻度拥堵",AND(G143&gt;=15,G143&lt;20),"中度拥堵",AND(G143&gt;=0,G143&lt;15),"严重拥堵"),F143&lt;40,_xlfn.IFS(G143&gt;=25,"畅通",AND(G143&gt;=20,G143&lt;25),"轻度拥堵",AND(G143&gt;=10,G143&lt;20),"中度拥堵",AND(G143&gt;=0,G143&lt;10),"严重拥堵"),F143=50,_xlfn.IFS(G143&gt;=30,"畅通",AND(G143&gt;=25,G143&lt;30),"轻度拥堵",AND(G143&gt;=15,G143&lt;25),"中度拥堵",AND(G143&gt;=0,G143&lt;15),"严重拥堵"),F143=60,_xlfn.IFS(G143&gt;=35,"畅通",AND(G143&gt;=30,G143&lt;35),"轻度拥堵",AND(G143&gt;=20,G143&lt;30),"中度拥堵",AND(G143&gt;=0,G143&lt;20),"严重拥堵"),F143=70,_xlfn.IFS(G143&gt;=40,"畅通",AND(G143&gt;=30,G143&lt;40),"轻度拥堵",AND(G143&gt;=20,G143&lt;30),"中度拥堵",AND(G143&gt;=0,G143&lt;20),"严重拥堵"),F143=80,_xlfn.IFS(G143&gt;=45,"畅通",AND(G143&gt;=30,G143&lt;45),"轻度拥堵",AND(G143&gt;=20,G143&lt;30),"中度拥堵",AND(G143&gt;=0,G143&lt;20),"严重拥堵")),_xlfn.IFS(F143&lt;60,_xlfn.IFS(G143&gt;=40,"畅通",AND(G143&gt;=30,G143&lt;40),"轻度拥堵",AND(G143&gt;=20,G143&lt;30),"中度拥堵",AND(G143&gt;=0,G143&lt;20),"严重拥堵"),F143=60,_xlfn.IFS(G143&gt;=40,"畅通",AND(G143&gt;=30,G143&lt;40),"轻度拥堵",AND(G143&gt;=20,G143&lt;30),"中度拥堵",AND(G143&gt;=0,G143&lt;20),"严重拥堵"),F143=70,_xlfn.IFS(G143&gt;=45,"畅通",AND(G143&gt;=20,G143&lt;25),"轻度拥堵",AND(G143&gt;=10,G143&lt;20),"中度拥堵",AND(G143&gt;=0,G143&lt;10),"严重拥堵"),F143=80,_xlfn.IFS(G143&gt;=50,"畅通",AND(G143&gt;=35,G143&lt;50),"轻度拥堵",AND(G143&gt;=20,G143&lt;35),"中度拥堵",AND(G143&gt;=0,G143&lt;20),"严重拥堵"),F143=90,_xlfn.IFS(G143&gt;=55,"畅通",AND(G143&gt;=35,G143&lt;55),"轻度拥堵",AND(G143&gt;=20,G143&lt;35),"中度拥堵",AND(G143&gt;=0,G143&lt;20),"严重拥堵"),F143=100,_xlfn.IFS(G143&gt;=60,"畅通",AND(G143&gt;=40,G143&lt;60),"轻度拥堵",AND(G143&gt;=20,G143&lt;40),"中度拥堵",AND(G143&gt;=0,G143&lt;20),"严重拥堵"),F143=110,_xlfn.IFS(G143&gt;=65,"畅通",AND(G143&gt;=45,G143&lt;65),"轻度拥堵",AND(G143&gt;=25,G143&lt;45),"中度拥堵",AND(G143&gt;=0,G143&lt;25),"严重拥堵"),F143=120,_xlfn.IFS(G143&gt;=70,"畅通",AND(G143&gt;=50,G143&lt;70),"轻度拥堵",AND(G143&gt;=30,G143&lt;50),"中度拥堵",AND(G143&gt;=0,G143&lt;30),"严重拥堵")))</f>
        <v>严重拥堵</v>
      </c>
    </row>
    <row r="144" spans="1:8" x14ac:dyDescent="0.2">
      <c r="A144">
        <v>143</v>
      </c>
      <c r="B144" t="str" cm="1">
        <f t="array" aca="1" ref="B144" ca="1">INDIRECT("s"&amp;RANDBETWEEN(22,23))</f>
        <v>主干路</v>
      </c>
      <c r="C144">
        <f t="shared" ca="1" si="29"/>
        <v>88</v>
      </c>
      <c r="D144">
        <f t="shared" ca="1" si="30"/>
        <v>1.5</v>
      </c>
      <c r="E144">
        <f t="shared" ca="1" si="31"/>
        <v>4.26</v>
      </c>
      <c r="F144" cm="1">
        <f t="array" aca="1" ref="F144" ca="1">INDIRECT("q"&amp;RANDBETWEEN(20,38))</f>
        <v>60</v>
      </c>
      <c r="G144">
        <v>31</v>
      </c>
      <c r="H144" t="str" cm="1">
        <f t="array" aca="1" ref="H144" ca="1">IF(OR(B144="主干路",B144="次干路"),_xlfn.IFS(F144=40,_xlfn.IFS(G144&gt;=25,"畅通",AND(G144&gt;=20,G144&lt;25),"轻度拥堵",AND(G144&gt;=15,G144&lt;20),"中度拥堵",AND(G144&gt;=0,G144&lt;15),"严重拥堵"),F144&lt;40,_xlfn.IFS(G144&gt;=25,"畅通",AND(G144&gt;=20,G144&lt;25),"轻度拥堵",AND(G144&gt;=10,G144&lt;20),"中度拥堵",AND(G144&gt;=0,G144&lt;10),"严重拥堵"),F144=50,_xlfn.IFS(G144&gt;=30,"畅通",AND(G144&gt;=25,G144&lt;30),"轻度拥堵",AND(G144&gt;=15,G144&lt;25),"中度拥堵",AND(G144&gt;=0,G144&lt;15),"严重拥堵"),F144=60,_xlfn.IFS(G144&gt;=35,"畅通",AND(G144&gt;=30,G144&lt;35),"轻度拥堵",AND(G144&gt;=20,G144&lt;30),"中度拥堵",AND(G144&gt;=0,G144&lt;20),"严重拥堵"),F144=70,_xlfn.IFS(G144&gt;=40,"畅通",AND(G144&gt;=30,G144&lt;40),"轻度拥堵",AND(G144&gt;=20,G144&lt;30),"中度拥堵",AND(G144&gt;=0,G144&lt;20),"严重拥堵"),F144=80,_xlfn.IFS(G144&gt;=45,"畅通",AND(G144&gt;=30,G144&lt;45),"轻度拥堵",AND(G144&gt;=20,G144&lt;30),"中度拥堵",AND(G144&gt;=0,G144&lt;20),"严重拥堵")),_xlfn.IFS(F144&lt;60,_xlfn.IFS(G144&gt;=40,"畅通",AND(G144&gt;=30,G144&lt;40),"轻度拥堵",AND(G144&gt;=20,G144&lt;30),"中度拥堵",AND(G144&gt;=0,G144&lt;20),"严重拥堵"),F144=60,_xlfn.IFS(G144&gt;=40,"畅通",AND(G144&gt;=30,G144&lt;40),"轻度拥堵",AND(G144&gt;=20,G144&lt;30),"中度拥堵",AND(G144&gt;=0,G144&lt;20),"严重拥堵"),F144=70,_xlfn.IFS(G144&gt;=45,"畅通",AND(G144&gt;=20,G144&lt;25),"轻度拥堵",AND(G144&gt;=10,G144&lt;20),"中度拥堵",AND(G144&gt;=0,G144&lt;10),"严重拥堵"),F144=80,_xlfn.IFS(G144&gt;=50,"畅通",AND(G144&gt;=35,G144&lt;50),"轻度拥堵",AND(G144&gt;=20,G144&lt;35),"中度拥堵",AND(G144&gt;=0,G144&lt;20),"严重拥堵"),F144=90,_xlfn.IFS(G144&gt;=55,"畅通",AND(G144&gt;=35,G144&lt;55),"轻度拥堵",AND(G144&gt;=20,G144&lt;35),"中度拥堵",AND(G144&gt;=0,G144&lt;20),"严重拥堵"),F144=100,_xlfn.IFS(G144&gt;=60,"畅通",AND(G144&gt;=40,G144&lt;60),"轻度拥堵",AND(G144&gt;=20,G144&lt;40),"中度拥堵",AND(G144&gt;=0,G144&lt;20),"严重拥堵"),F144=110,_xlfn.IFS(G144&gt;=65,"畅通",AND(G144&gt;=45,G144&lt;65),"轻度拥堵",AND(G144&gt;=25,G144&lt;45),"中度拥堵",AND(G144&gt;=0,G144&lt;25),"严重拥堵"),F144=120,_xlfn.IFS(G144&gt;=70,"畅通",AND(G144&gt;=50,G144&lt;70),"轻度拥堵",AND(G144&gt;=30,G144&lt;50),"中度拥堵",AND(G144&gt;=0,G144&lt;30),"严重拥堵")))</f>
        <v>轻度拥堵</v>
      </c>
    </row>
    <row r="145" spans="1:8" x14ac:dyDescent="0.2">
      <c r="A145">
        <v>144</v>
      </c>
      <c r="B145" t="str" cm="1">
        <f t="array" aca="1" ref="B145" ca="1">INDIRECT("s"&amp;RANDBETWEEN(22,23))</f>
        <v>次干路</v>
      </c>
      <c r="C145">
        <f t="shared" ca="1" si="29"/>
        <v>117</v>
      </c>
      <c r="D145">
        <f t="shared" ca="1" si="30"/>
        <v>0.7</v>
      </c>
      <c r="E145">
        <f t="shared" ca="1" si="31"/>
        <v>3.41</v>
      </c>
      <c r="F145" cm="1">
        <f t="array" aca="1" ref="F145" ca="1">INDIRECT("q"&amp;RANDBETWEEN(20,38))</f>
        <v>60</v>
      </c>
      <c r="G145">
        <f ca="1">RANDBETWEEN(1,F145)</f>
        <v>24</v>
      </c>
      <c r="H145" t="str" cm="1">
        <f t="array" aca="1" ref="H145" ca="1">IF(OR(B145="主干路",B145="次干路"),_xlfn.IFS(F145=40,_xlfn.IFS(G145&gt;=25,"畅通",AND(G145&gt;=20,G145&lt;25),"轻度拥堵",AND(G145&gt;=15,G145&lt;20),"中度拥堵",AND(G145&gt;=0,G145&lt;15),"严重拥堵"),F145&lt;40,_xlfn.IFS(G145&gt;=25,"畅通",AND(G145&gt;=20,G145&lt;25),"轻度拥堵",AND(G145&gt;=10,G145&lt;20),"中度拥堵",AND(G145&gt;=0,G145&lt;10),"严重拥堵"),F145=50,_xlfn.IFS(G145&gt;=30,"畅通",AND(G145&gt;=25,G145&lt;30),"轻度拥堵",AND(G145&gt;=15,G145&lt;25),"中度拥堵",AND(G145&gt;=0,G145&lt;15),"严重拥堵"),F145=60,_xlfn.IFS(G145&gt;=35,"畅通",AND(G145&gt;=30,G145&lt;35),"轻度拥堵",AND(G145&gt;=20,G145&lt;30),"中度拥堵",AND(G145&gt;=0,G145&lt;20),"严重拥堵"),F145=70,_xlfn.IFS(G145&gt;=40,"畅通",AND(G145&gt;=30,G145&lt;40),"轻度拥堵",AND(G145&gt;=20,G145&lt;30),"中度拥堵",AND(G145&gt;=0,G145&lt;20),"严重拥堵"),F145=80,_xlfn.IFS(G145&gt;=45,"畅通",AND(G145&gt;=30,G145&lt;45),"轻度拥堵",AND(G145&gt;=20,G145&lt;30),"中度拥堵",AND(G145&gt;=0,G145&lt;20),"严重拥堵")),_xlfn.IFS(F145&lt;60,_xlfn.IFS(G145&gt;=40,"畅通",AND(G145&gt;=30,G145&lt;40),"轻度拥堵",AND(G145&gt;=20,G145&lt;30),"中度拥堵",AND(G145&gt;=0,G145&lt;20),"严重拥堵"),F145=60,_xlfn.IFS(G145&gt;=40,"畅通",AND(G145&gt;=30,G145&lt;40),"轻度拥堵",AND(G145&gt;=20,G145&lt;30),"中度拥堵",AND(G145&gt;=0,G145&lt;20),"严重拥堵"),F145=70,_xlfn.IFS(G145&gt;=45,"畅通",AND(G145&gt;=20,G145&lt;25),"轻度拥堵",AND(G145&gt;=10,G145&lt;20),"中度拥堵",AND(G145&gt;=0,G145&lt;10),"严重拥堵"),F145=80,_xlfn.IFS(G145&gt;=50,"畅通",AND(G145&gt;=35,G145&lt;50),"轻度拥堵",AND(G145&gt;=20,G145&lt;35),"中度拥堵",AND(G145&gt;=0,G145&lt;20),"严重拥堵"),F145=90,_xlfn.IFS(G145&gt;=55,"畅通",AND(G145&gt;=35,G145&lt;55),"轻度拥堵",AND(G145&gt;=20,G145&lt;35),"中度拥堵",AND(G145&gt;=0,G145&lt;20),"严重拥堵"),F145=100,_xlfn.IFS(G145&gt;=60,"畅通",AND(G145&gt;=40,G145&lt;60),"轻度拥堵",AND(G145&gt;=20,G145&lt;40),"中度拥堵",AND(G145&gt;=0,G145&lt;20),"严重拥堵"),F145=110,_xlfn.IFS(G145&gt;=65,"畅通",AND(G145&gt;=45,G145&lt;65),"轻度拥堵",AND(G145&gt;=25,G145&lt;45),"中度拥堵",AND(G145&gt;=0,G145&lt;25),"严重拥堵"),F145=120,_xlfn.IFS(G145&gt;=70,"畅通",AND(G145&gt;=50,G145&lt;70),"轻度拥堵",AND(G145&gt;=30,G145&lt;50),"中度拥堵",AND(G145&gt;=0,G145&lt;30),"严重拥堵")))</f>
        <v>中度拥堵</v>
      </c>
    </row>
    <row r="146" spans="1:8" x14ac:dyDescent="0.2">
      <c r="A146">
        <v>145</v>
      </c>
      <c r="B146" t="str" cm="1">
        <f t="array" aca="1" ref="B146" ca="1">INDIRECT("s"&amp;RANDBETWEEN(22,23))</f>
        <v>次干路</v>
      </c>
      <c r="C146">
        <f t="shared" ca="1" si="29"/>
        <v>99</v>
      </c>
      <c r="D146">
        <f t="shared" ca="1" si="30"/>
        <v>2.8</v>
      </c>
      <c r="E146">
        <f t="shared" ca="1" si="31"/>
        <v>25.2</v>
      </c>
      <c r="F146" cm="1">
        <f t="array" aca="1" ref="F146" ca="1">INDIRECT("q"&amp;RANDBETWEEN(20,38))</f>
        <v>60</v>
      </c>
      <c r="G146">
        <f ca="1">RANDBETWEEN(1,F146)</f>
        <v>11</v>
      </c>
      <c r="H146" t="str" cm="1">
        <f t="array" aca="1" ref="H146" ca="1">IF(OR(B146="主干路",B146="次干路"),_xlfn.IFS(F146=40,_xlfn.IFS(G146&gt;=25,"畅通",AND(G146&gt;=20,G146&lt;25),"轻度拥堵",AND(G146&gt;=15,G146&lt;20),"中度拥堵",AND(G146&gt;=0,G146&lt;15),"严重拥堵"),F146&lt;40,_xlfn.IFS(G146&gt;=25,"畅通",AND(G146&gt;=20,G146&lt;25),"轻度拥堵",AND(G146&gt;=10,G146&lt;20),"中度拥堵",AND(G146&gt;=0,G146&lt;10),"严重拥堵"),F146=50,_xlfn.IFS(G146&gt;=30,"畅通",AND(G146&gt;=25,G146&lt;30),"轻度拥堵",AND(G146&gt;=15,G146&lt;25),"中度拥堵",AND(G146&gt;=0,G146&lt;15),"严重拥堵"),F146=60,_xlfn.IFS(G146&gt;=35,"畅通",AND(G146&gt;=30,G146&lt;35),"轻度拥堵",AND(G146&gt;=20,G146&lt;30),"中度拥堵",AND(G146&gt;=0,G146&lt;20),"严重拥堵"),F146=70,_xlfn.IFS(G146&gt;=40,"畅通",AND(G146&gt;=30,G146&lt;40),"轻度拥堵",AND(G146&gt;=20,G146&lt;30),"中度拥堵",AND(G146&gt;=0,G146&lt;20),"严重拥堵"),F146=80,_xlfn.IFS(G146&gt;=45,"畅通",AND(G146&gt;=30,G146&lt;45),"轻度拥堵",AND(G146&gt;=20,G146&lt;30),"中度拥堵",AND(G146&gt;=0,G146&lt;20),"严重拥堵")),_xlfn.IFS(F146&lt;60,_xlfn.IFS(G146&gt;=40,"畅通",AND(G146&gt;=30,G146&lt;40),"轻度拥堵",AND(G146&gt;=20,G146&lt;30),"中度拥堵",AND(G146&gt;=0,G146&lt;20),"严重拥堵"),F146=60,_xlfn.IFS(G146&gt;=40,"畅通",AND(G146&gt;=30,G146&lt;40),"轻度拥堵",AND(G146&gt;=20,G146&lt;30),"中度拥堵",AND(G146&gt;=0,G146&lt;20),"严重拥堵"),F146=70,_xlfn.IFS(G146&gt;=45,"畅通",AND(G146&gt;=20,G146&lt;25),"轻度拥堵",AND(G146&gt;=10,G146&lt;20),"中度拥堵",AND(G146&gt;=0,G146&lt;10),"严重拥堵"),F146=80,_xlfn.IFS(G146&gt;=50,"畅通",AND(G146&gt;=35,G146&lt;50),"轻度拥堵",AND(G146&gt;=20,G146&lt;35),"中度拥堵",AND(G146&gt;=0,G146&lt;20),"严重拥堵"),F146=90,_xlfn.IFS(G146&gt;=55,"畅通",AND(G146&gt;=35,G146&lt;55),"轻度拥堵",AND(G146&gt;=20,G146&lt;35),"中度拥堵",AND(G146&gt;=0,G146&lt;20),"严重拥堵"),F146=100,_xlfn.IFS(G146&gt;=60,"畅通",AND(G146&gt;=40,G146&lt;60),"轻度拥堵",AND(G146&gt;=20,G146&lt;40),"中度拥堵",AND(G146&gt;=0,G146&lt;20),"严重拥堵"),F146=110,_xlfn.IFS(G146&gt;=65,"畅通",AND(G146&gt;=45,G146&lt;65),"轻度拥堵",AND(G146&gt;=25,G146&lt;45),"中度拥堵",AND(G146&gt;=0,G146&lt;25),"严重拥堵"),F146=120,_xlfn.IFS(G146&gt;=70,"畅通",AND(G146&gt;=50,G146&lt;70),"轻度拥堵",AND(G146&gt;=30,G146&lt;50),"中度拥堵",AND(G146&gt;=0,G146&lt;30),"严重拥堵")))</f>
        <v>严重拥堵</v>
      </c>
    </row>
    <row r="147" spans="1:8" x14ac:dyDescent="0.2">
      <c r="A147">
        <v>146</v>
      </c>
      <c r="B147" t="str" cm="1">
        <f t="array" aca="1" ref="B147" ca="1">INDIRECT("s"&amp;RANDBETWEEN(22,23))</f>
        <v>次干路</v>
      </c>
      <c r="C147">
        <f t="shared" ca="1" si="29"/>
        <v>105</v>
      </c>
      <c r="D147">
        <f t="shared" ca="1" si="30"/>
        <v>3</v>
      </c>
      <c r="E147">
        <f t="shared" ca="1" si="31"/>
        <v>7.68</v>
      </c>
      <c r="F147" cm="1">
        <f t="array" aca="1" ref="F147" ca="1">INDIRECT("q"&amp;RANDBETWEEN(20,38))</f>
        <v>60</v>
      </c>
      <c r="G147">
        <f ca="1">RANDBETWEEN(1,F147)</f>
        <v>41</v>
      </c>
      <c r="H147" t="str" cm="1">
        <f t="array" aca="1" ref="H147" ca="1">IF(OR(B147="主干路",B147="次干路"),_xlfn.IFS(F147=40,_xlfn.IFS(G147&gt;=25,"畅通",AND(G147&gt;=20,G147&lt;25),"轻度拥堵",AND(G147&gt;=15,G147&lt;20),"中度拥堵",AND(G147&gt;=0,G147&lt;15),"严重拥堵"),F147&lt;40,_xlfn.IFS(G147&gt;=25,"畅通",AND(G147&gt;=20,G147&lt;25),"轻度拥堵",AND(G147&gt;=10,G147&lt;20),"中度拥堵",AND(G147&gt;=0,G147&lt;10),"严重拥堵"),F147=50,_xlfn.IFS(G147&gt;=30,"畅通",AND(G147&gt;=25,G147&lt;30),"轻度拥堵",AND(G147&gt;=15,G147&lt;25),"中度拥堵",AND(G147&gt;=0,G147&lt;15),"严重拥堵"),F147=60,_xlfn.IFS(G147&gt;=35,"畅通",AND(G147&gt;=30,G147&lt;35),"轻度拥堵",AND(G147&gt;=20,G147&lt;30),"中度拥堵",AND(G147&gt;=0,G147&lt;20),"严重拥堵"),F147=70,_xlfn.IFS(G147&gt;=40,"畅通",AND(G147&gt;=30,G147&lt;40),"轻度拥堵",AND(G147&gt;=20,G147&lt;30),"中度拥堵",AND(G147&gt;=0,G147&lt;20),"严重拥堵"),F147=80,_xlfn.IFS(G147&gt;=45,"畅通",AND(G147&gt;=30,G147&lt;45),"轻度拥堵",AND(G147&gt;=20,G147&lt;30),"中度拥堵",AND(G147&gt;=0,G147&lt;20),"严重拥堵")),_xlfn.IFS(F147&lt;60,_xlfn.IFS(G147&gt;=40,"畅通",AND(G147&gt;=30,G147&lt;40),"轻度拥堵",AND(G147&gt;=20,G147&lt;30),"中度拥堵",AND(G147&gt;=0,G147&lt;20),"严重拥堵"),F147=60,_xlfn.IFS(G147&gt;=40,"畅通",AND(G147&gt;=30,G147&lt;40),"轻度拥堵",AND(G147&gt;=20,G147&lt;30),"中度拥堵",AND(G147&gt;=0,G147&lt;20),"严重拥堵"),F147=70,_xlfn.IFS(G147&gt;=45,"畅通",AND(G147&gt;=20,G147&lt;25),"轻度拥堵",AND(G147&gt;=10,G147&lt;20),"中度拥堵",AND(G147&gt;=0,G147&lt;10),"严重拥堵"),F147=80,_xlfn.IFS(G147&gt;=50,"畅通",AND(G147&gt;=35,G147&lt;50),"轻度拥堵",AND(G147&gt;=20,G147&lt;35),"中度拥堵",AND(G147&gt;=0,G147&lt;20),"严重拥堵"),F147=90,_xlfn.IFS(G147&gt;=55,"畅通",AND(G147&gt;=35,G147&lt;55),"轻度拥堵",AND(G147&gt;=20,G147&lt;35),"中度拥堵",AND(G147&gt;=0,G147&lt;20),"严重拥堵"),F147=100,_xlfn.IFS(G147&gt;=60,"畅通",AND(G147&gt;=40,G147&lt;60),"轻度拥堵",AND(G147&gt;=20,G147&lt;40),"中度拥堵",AND(G147&gt;=0,G147&lt;20),"严重拥堵"),F147=110,_xlfn.IFS(G147&gt;=65,"畅通",AND(G147&gt;=45,G147&lt;65),"轻度拥堵",AND(G147&gt;=25,G147&lt;45),"中度拥堵",AND(G147&gt;=0,G147&lt;25),"严重拥堵"),F147=120,_xlfn.IFS(G147&gt;=70,"畅通",AND(G147&gt;=50,G147&lt;70),"轻度拥堵",AND(G147&gt;=30,G147&lt;50),"中度拥堵",AND(G147&gt;=0,G147&lt;30),"严重拥堵")))</f>
        <v>畅通</v>
      </c>
    </row>
  </sheetData>
  <sortState xmlns:xlrd2="http://schemas.microsoft.com/office/spreadsheetml/2017/richdata2" ref="A2:H147">
    <sortCondition ref="A5:A147"/>
  </sortState>
  <phoneticPr fontId="1" type="noConversion"/>
  <pageMargins left="0.7" right="0.7" top="0.75" bottom="0.75" header="0.3" footer="0.3"/>
  <pageSetup paperSize="9" orientation="portrait" r:id="rId1"/>
  <ignoredErrors>
    <ignoredError sqref="B82:F82 H82 A108:H10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FEC4-B851-4CC6-8617-714E1C61F878}">
  <dimension ref="A1:G147"/>
  <sheetViews>
    <sheetView workbookViewId="0">
      <selection activeCell="M44" sqref="M44"/>
    </sheetView>
  </sheetViews>
  <sheetFormatPr defaultRowHeight="14.25" x14ac:dyDescent="0.2"/>
  <cols>
    <col min="2" max="3" width="11" bestFit="1" customWidth="1"/>
    <col min="4" max="4" width="17.25" bestFit="1" customWidth="1"/>
    <col min="5" max="5" width="29.625" bestFit="1" customWidth="1"/>
  </cols>
  <sheetData>
    <row r="1" spans="1:7" x14ac:dyDescent="0.2">
      <c r="A1" t="s">
        <v>11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">
      <c r="A2">
        <v>1</v>
      </c>
      <c r="B2" t="s">
        <v>19</v>
      </c>
      <c r="C2">
        <v>82</v>
      </c>
      <c r="D2">
        <v>1</v>
      </c>
      <c r="E2">
        <v>4.5599999999999996</v>
      </c>
      <c r="F2">
        <v>60</v>
      </c>
      <c r="G2" t="s">
        <v>20</v>
      </c>
    </row>
    <row r="3" spans="1:7" x14ac:dyDescent="0.2">
      <c r="A3">
        <v>2</v>
      </c>
      <c r="B3" t="s">
        <v>21</v>
      </c>
      <c r="C3">
        <v>171</v>
      </c>
      <c r="D3">
        <v>1.8</v>
      </c>
      <c r="E3">
        <v>6.28</v>
      </c>
      <c r="F3">
        <v>60</v>
      </c>
      <c r="G3" t="s">
        <v>22</v>
      </c>
    </row>
    <row r="4" spans="1:7" x14ac:dyDescent="0.2">
      <c r="A4">
        <v>3</v>
      </c>
      <c r="B4" t="s">
        <v>19</v>
      </c>
      <c r="C4">
        <v>137</v>
      </c>
      <c r="D4">
        <v>2.5</v>
      </c>
      <c r="E4">
        <v>9.26</v>
      </c>
      <c r="F4">
        <v>60</v>
      </c>
      <c r="G4" t="s">
        <v>22</v>
      </c>
    </row>
    <row r="5" spans="1:7" x14ac:dyDescent="0.2">
      <c r="A5">
        <v>4</v>
      </c>
      <c r="B5" t="s">
        <v>19</v>
      </c>
      <c r="C5">
        <v>145</v>
      </c>
      <c r="D5">
        <v>1.4</v>
      </c>
      <c r="E5">
        <v>203</v>
      </c>
      <c r="F5">
        <v>60</v>
      </c>
      <c r="G5" t="s">
        <v>20</v>
      </c>
    </row>
    <row r="6" spans="1:7" x14ac:dyDescent="0.2">
      <c r="A6">
        <v>5</v>
      </c>
      <c r="B6" t="s">
        <v>19</v>
      </c>
      <c r="C6">
        <v>99</v>
      </c>
      <c r="D6">
        <v>2.2999999999999998</v>
      </c>
      <c r="E6">
        <v>3.93</v>
      </c>
      <c r="F6">
        <v>60</v>
      </c>
      <c r="G6" t="s">
        <v>22</v>
      </c>
    </row>
    <row r="7" spans="1:7" x14ac:dyDescent="0.2">
      <c r="A7">
        <v>6</v>
      </c>
      <c r="B7" t="s">
        <v>21</v>
      </c>
      <c r="C7">
        <v>116</v>
      </c>
      <c r="D7">
        <v>2.4</v>
      </c>
      <c r="E7">
        <v>8.44</v>
      </c>
      <c r="F7">
        <v>60</v>
      </c>
      <c r="G7" t="s">
        <v>23</v>
      </c>
    </row>
    <row r="8" spans="1:7" x14ac:dyDescent="0.2">
      <c r="A8">
        <v>7</v>
      </c>
      <c r="B8" t="s">
        <v>21</v>
      </c>
      <c r="C8">
        <v>122</v>
      </c>
      <c r="D8">
        <v>0.7</v>
      </c>
      <c r="E8">
        <v>1.9</v>
      </c>
      <c r="F8">
        <v>60</v>
      </c>
      <c r="G8" t="s">
        <v>22</v>
      </c>
    </row>
    <row r="9" spans="1:7" x14ac:dyDescent="0.2">
      <c r="A9">
        <v>8</v>
      </c>
      <c r="B9" t="s">
        <v>21</v>
      </c>
      <c r="C9">
        <v>174</v>
      </c>
      <c r="D9">
        <v>3</v>
      </c>
      <c r="E9">
        <v>130.5</v>
      </c>
      <c r="F9">
        <v>70</v>
      </c>
      <c r="G9" t="s">
        <v>20</v>
      </c>
    </row>
    <row r="10" spans="1:7" x14ac:dyDescent="0.2">
      <c r="A10">
        <v>9</v>
      </c>
      <c r="B10" t="s">
        <v>19</v>
      </c>
      <c r="C10">
        <v>130</v>
      </c>
      <c r="D10">
        <v>2.8</v>
      </c>
      <c r="E10">
        <v>6.39</v>
      </c>
      <c r="F10">
        <v>60</v>
      </c>
      <c r="G10" t="s">
        <v>22</v>
      </c>
    </row>
    <row r="11" spans="1:7" x14ac:dyDescent="0.2">
      <c r="A11">
        <v>10</v>
      </c>
      <c r="B11" t="s">
        <v>21</v>
      </c>
      <c r="C11">
        <v>110</v>
      </c>
      <c r="D11">
        <v>2.7</v>
      </c>
      <c r="E11">
        <v>37.130000000000003</v>
      </c>
      <c r="F11">
        <v>60</v>
      </c>
      <c r="G11" t="s">
        <v>20</v>
      </c>
    </row>
    <row r="12" spans="1:7" x14ac:dyDescent="0.2">
      <c r="A12">
        <v>11</v>
      </c>
      <c r="B12" t="s">
        <v>21</v>
      </c>
      <c r="C12">
        <v>124</v>
      </c>
      <c r="D12">
        <v>0.6</v>
      </c>
      <c r="E12">
        <v>2.13</v>
      </c>
      <c r="F12">
        <v>60</v>
      </c>
      <c r="G12" t="s">
        <v>22</v>
      </c>
    </row>
    <row r="13" spans="1:7" x14ac:dyDescent="0.2">
      <c r="A13">
        <v>12</v>
      </c>
      <c r="B13" t="s">
        <v>21</v>
      </c>
      <c r="C13">
        <v>92</v>
      </c>
      <c r="D13">
        <v>1.8</v>
      </c>
      <c r="E13">
        <v>4.4800000000000004</v>
      </c>
      <c r="F13">
        <v>60</v>
      </c>
      <c r="G13" t="s">
        <v>22</v>
      </c>
    </row>
    <row r="14" spans="1:7" x14ac:dyDescent="0.2">
      <c r="A14">
        <v>13</v>
      </c>
      <c r="B14" t="s">
        <v>21</v>
      </c>
      <c r="C14">
        <v>120</v>
      </c>
      <c r="D14">
        <v>2.7</v>
      </c>
      <c r="E14">
        <v>8.76</v>
      </c>
      <c r="F14">
        <v>60</v>
      </c>
      <c r="G14" t="s">
        <v>22</v>
      </c>
    </row>
    <row r="15" spans="1:7" x14ac:dyDescent="0.2">
      <c r="A15">
        <v>14</v>
      </c>
      <c r="B15" t="s">
        <v>21</v>
      </c>
      <c r="C15">
        <v>119</v>
      </c>
      <c r="D15">
        <v>1.4</v>
      </c>
      <c r="E15">
        <v>7.57</v>
      </c>
      <c r="F15">
        <v>60</v>
      </c>
      <c r="G15" t="s">
        <v>24</v>
      </c>
    </row>
    <row r="16" spans="1:7" x14ac:dyDescent="0.2">
      <c r="A16">
        <v>15</v>
      </c>
      <c r="B16" t="s">
        <v>19</v>
      </c>
      <c r="C16">
        <v>92</v>
      </c>
      <c r="D16">
        <v>1</v>
      </c>
      <c r="E16">
        <v>1.67</v>
      </c>
      <c r="F16">
        <v>60</v>
      </c>
      <c r="G16" t="s">
        <v>22</v>
      </c>
    </row>
    <row r="17" spans="1:7" x14ac:dyDescent="0.2">
      <c r="A17">
        <v>16</v>
      </c>
      <c r="B17" t="s">
        <v>21</v>
      </c>
      <c r="C17">
        <v>140</v>
      </c>
      <c r="D17">
        <v>1.4</v>
      </c>
      <c r="E17">
        <v>10.89</v>
      </c>
      <c r="F17">
        <v>60</v>
      </c>
      <c r="G17" t="s">
        <v>20</v>
      </c>
    </row>
    <row r="18" spans="1:7" x14ac:dyDescent="0.2">
      <c r="A18">
        <v>17</v>
      </c>
      <c r="B18" t="s">
        <v>19</v>
      </c>
      <c r="C18">
        <v>115</v>
      </c>
      <c r="D18">
        <v>0.6</v>
      </c>
      <c r="E18">
        <v>3.83</v>
      </c>
      <c r="F18">
        <v>50</v>
      </c>
      <c r="G18" t="s">
        <v>24</v>
      </c>
    </row>
    <row r="19" spans="1:7" x14ac:dyDescent="0.2">
      <c r="A19">
        <v>18</v>
      </c>
      <c r="B19" t="s">
        <v>21</v>
      </c>
      <c r="C19">
        <v>117</v>
      </c>
      <c r="D19">
        <v>0.7</v>
      </c>
      <c r="E19">
        <v>10.24</v>
      </c>
      <c r="F19">
        <v>60</v>
      </c>
      <c r="G19" t="s">
        <v>20</v>
      </c>
    </row>
    <row r="20" spans="1:7" x14ac:dyDescent="0.2">
      <c r="A20">
        <v>19</v>
      </c>
      <c r="B20" t="s">
        <v>21</v>
      </c>
      <c r="C20">
        <v>180</v>
      </c>
      <c r="D20">
        <v>2.6</v>
      </c>
      <c r="E20">
        <v>18.72</v>
      </c>
      <c r="F20">
        <v>60</v>
      </c>
      <c r="G20" t="s">
        <v>24</v>
      </c>
    </row>
    <row r="21" spans="1:7" x14ac:dyDescent="0.2">
      <c r="A21">
        <v>20</v>
      </c>
      <c r="B21" t="s">
        <v>25</v>
      </c>
      <c r="C21">
        <v>267</v>
      </c>
      <c r="D21">
        <v>2.2999999999999998</v>
      </c>
      <c r="E21">
        <v>8.5299999999999994</v>
      </c>
      <c r="F21">
        <v>100</v>
      </c>
      <c r="G21" t="s">
        <v>22</v>
      </c>
    </row>
    <row r="22" spans="1:7" x14ac:dyDescent="0.2">
      <c r="A22">
        <v>21</v>
      </c>
      <c r="B22" t="s">
        <v>26</v>
      </c>
      <c r="C22">
        <v>242</v>
      </c>
      <c r="D22">
        <v>2.2999999999999998</v>
      </c>
      <c r="E22">
        <v>12.1</v>
      </c>
      <c r="F22">
        <v>60</v>
      </c>
      <c r="G22" t="s">
        <v>22</v>
      </c>
    </row>
    <row r="23" spans="1:7" x14ac:dyDescent="0.2">
      <c r="A23">
        <v>22</v>
      </c>
      <c r="B23" t="s">
        <v>25</v>
      </c>
      <c r="C23">
        <v>299</v>
      </c>
      <c r="D23">
        <v>2.4</v>
      </c>
      <c r="E23">
        <v>17.5</v>
      </c>
      <c r="F23">
        <v>60</v>
      </c>
      <c r="G23" t="s">
        <v>22</v>
      </c>
    </row>
    <row r="24" spans="1:7" x14ac:dyDescent="0.2">
      <c r="A24">
        <v>23</v>
      </c>
      <c r="B24" t="s">
        <v>25</v>
      </c>
      <c r="C24">
        <v>375</v>
      </c>
      <c r="D24">
        <v>3.6</v>
      </c>
      <c r="E24">
        <v>22.5</v>
      </c>
      <c r="F24">
        <v>120</v>
      </c>
      <c r="G24" t="s">
        <v>23</v>
      </c>
    </row>
    <row r="25" spans="1:7" x14ac:dyDescent="0.2">
      <c r="A25">
        <v>24</v>
      </c>
      <c r="B25" t="s">
        <v>25</v>
      </c>
      <c r="C25">
        <v>426</v>
      </c>
      <c r="D25">
        <v>3.8</v>
      </c>
      <c r="E25">
        <v>29.98</v>
      </c>
      <c r="F25">
        <v>80</v>
      </c>
      <c r="G25" t="s">
        <v>22</v>
      </c>
    </row>
    <row r="26" spans="1:7" x14ac:dyDescent="0.2">
      <c r="A26">
        <v>25</v>
      </c>
      <c r="B26" t="s">
        <v>26</v>
      </c>
      <c r="C26">
        <v>366</v>
      </c>
      <c r="D26">
        <v>3.9</v>
      </c>
      <c r="E26">
        <v>35.69</v>
      </c>
      <c r="F26">
        <v>60</v>
      </c>
      <c r="G26" t="s">
        <v>22</v>
      </c>
    </row>
    <row r="27" spans="1:7" x14ac:dyDescent="0.2">
      <c r="A27">
        <v>26</v>
      </c>
      <c r="B27" t="s">
        <v>26</v>
      </c>
      <c r="C27">
        <v>477</v>
      </c>
      <c r="D27">
        <v>4.5</v>
      </c>
      <c r="E27">
        <v>76.66</v>
      </c>
      <c r="F27">
        <v>80</v>
      </c>
      <c r="G27" t="s">
        <v>24</v>
      </c>
    </row>
    <row r="28" spans="1:7" x14ac:dyDescent="0.2">
      <c r="A28">
        <v>27</v>
      </c>
      <c r="B28" t="s">
        <v>26</v>
      </c>
      <c r="C28">
        <v>357</v>
      </c>
      <c r="D28">
        <v>4.5</v>
      </c>
      <c r="E28">
        <v>22.63</v>
      </c>
      <c r="F28">
        <v>110</v>
      </c>
      <c r="G28" t="s">
        <v>22</v>
      </c>
    </row>
    <row r="29" spans="1:7" x14ac:dyDescent="0.2">
      <c r="A29">
        <v>28</v>
      </c>
      <c r="B29" t="s">
        <v>25</v>
      </c>
      <c r="C29">
        <v>435</v>
      </c>
      <c r="D29">
        <v>2.2999999999999998</v>
      </c>
      <c r="E29">
        <v>90.95</v>
      </c>
      <c r="F29">
        <v>110</v>
      </c>
      <c r="G29" t="s">
        <v>20</v>
      </c>
    </row>
    <row r="30" spans="1:7" x14ac:dyDescent="0.2">
      <c r="A30">
        <v>29</v>
      </c>
      <c r="B30" t="s">
        <v>25</v>
      </c>
      <c r="C30">
        <v>213</v>
      </c>
      <c r="D30">
        <v>4.4000000000000004</v>
      </c>
      <c r="E30">
        <v>85.2</v>
      </c>
      <c r="F30">
        <v>100</v>
      </c>
      <c r="G30" t="s">
        <v>20</v>
      </c>
    </row>
    <row r="31" spans="1:7" x14ac:dyDescent="0.2">
      <c r="A31">
        <v>30</v>
      </c>
      <c r="B31" t="s">
        <v>25</v>
      </c>
      <c r="C31">
        <v>450</v>
      </c>
      <c r="D31">
        <v>3.5</v>
      </c>
      <c r="E31">
        <v>87.5</v>
      </c>
      <c r="F31">
        <v>60</v>
      </c>
      <c r="G31" t="s">
        <v>20</v>
      </c>
    </row>
    <row r="32" spans="1:7" x14ac:dyDescent="0.2">
      <c r="A32">
        <v>31</v>
      </c>
      <c r="B32" t="s">
        <v>25</v>
      </c>
      <c r="C32">
        <v>221</v>
      </c>
      <c r="D32">
        <v>2.2000000000000002</v>
      </c>
      <c r="E32">
        <v>18.010000000000002</v>
      </c>
      <c r="F32">
        <v>40</v>
      </c>
      <c r="G32" t="s">
        <v>24</v>
      </c>
    </row>
    <row r="33" spans="1:7" x14ac:dyDescent="0.2">
      <c r="A33">
        <v>32</v>
      </c>
      <c r="B33" t="s">
        <v>26</v>
      </c>
      <c r="C33">
        <v>460</v>
      </c>
      <c r="D33">
        <v>3.9</v>
      </c>
      <c r="E33">
        <v>29.9</v>
      </c>
      <c r="F33">
        <v>60</v>
      </c>
      <c r="G33" t="s">
        <v>22</v>
      </c>
    </row>
    <row r="34" spans="1:7" x14ac:dyDescent="0.2">
      <c r="A34">
        <v>33</v>
      </c>
      <c r="B34" t="s">
        <v>26</v>
      </c>
      <c r="C34">
        <v>294</v>
      </c>
      <c r="D34">
        <v>3.2</v>
      </c>
      <c r="E34">
        <v>156.80000000000001</v>
      </c>
      <c r="F34">
        <v>80</v>
      </c>
      <c r="G34" t="s">
        <v>20</v>
      </c>
    </row>
    <row r="35" spans="1:7" x14ac:dyDescent="0.2">
      <c r="A35">
        <v>34</v>
      </c>
      <c r="B35" t="s">
        <v>25</v>
      </c>
      <c r="C35">
        <v>363</v>
      </c>
      <c r="D35">
        <v>2.9</v>
      </c>
      <c r="E35">
        <v>22.88</v>
      </c>
      <c r="F35">
        <v>60</v>
      </c>
      <c r="G35" t="s">
        <v>22</v>
      </c>
    </row>
    <row r="36" spans="1:7" x14ac:dyDescent="0.2">
      <c r="A36">
        <v>35</v>
      </c>
      <c r="B36" t="s">
        <v>25</v>
      </c>
      <c r="C36">
        <v>203</v>
      </c>
      <c r="D36">
        <v>4.3</v>
      </c>
      <c r="E36">
        <v>20.78</v>
      </c>
      <c r="F36">
        <v>60</v>
      </c>
      <c r="G36" t="s">
        <v>22</v>
      </c>
    </row>
    <row r="37" spans="1:7" x14ac:dyDescent="0.2">
      <c r="A37">
        <v>36</v>
      </c>
      <c r="B37" t="s">
        <v>19</v>
      </c>
      <c r="C37">
        <v>160</v>
      </c>
      <c r="D37">
        <v>0.7</v>
      </c>
      <c r="E37">
        <v>7</v>
      </c>
      <c r="F37">
        <v>60</v>
      </c>
      <c r="G37" t="s">
        <v>20</v>
      </c>
    </row>
    <row r="38" spans="1:7" x14ac:dyDescent="0.2">
      <c r="A38">
        <v>37</v>
      </c>
      <c r="B38" t="s">
        <v>21</v>
      </c>
      <c r="C38">
        <v>101</v>
      </c>
      <c r="D38">
        <v>0.6</v>
      </c>
      <c r="E38">
        <v>1.44</v>
      </c>
      <c r="F38">
        <v>60</v>
      </c>
      <c r="G38" t="s">
        <v>22</v>
      </c>
    </row>
    <row r="39" spans="1:7" x14ac:dyDescent="0.2">
      <c r="A39">
        <v>38</v>
      </c>
      <c r="B39" t="s">
        <v>19</v>
      </c>
      <c r="C39">
        <v>116</v>
      </c>
      <c r="D39">
        <v>1</v>
      </c>
      <c r="E39">
        <v>1.57</v>
      </c>
      <c r="F39">
        <v>80</v>
      </c>
      <c r="G39" t="s">
        <v>22</v>
      </c>
    </row>
    <row r="40" spans="1:7" x14ac:dyDescent="0.2">
      <c r="A40">
        <v>39</v>
      </c>
      <c r="B40" t="s">
        <v>19</v>
      </c>
      <c r="C40">
        <v>101</v>
      </c>
      <c r="D40">
        <v>1</v>
      </c>
      <c r="E40">
        <v>1.68</v>
      </c>
      <c r="F40">
        <v>60</v>
      </c>
      <c r="G40" t="s">
        <v>22</v>
      </c>
    </row>
    <row r="41" spans="1:7" x14ac:dyDescent="0.2">
      <c r="A41">
        <v>40</v>
      </c>
      <c r="B41" t="s">
        <v>19</v>
      </c>
      <c r="C41">
        <v>163</v>
      </c>
      <c r="D41">
        <v>0.9</v>
      </c>
      <c r="E41">
        <v>6.38</v>
      </c>
      <c r="F41">
        <v>60</v>
      </c>
      <c r="G41" t="s">
        <v>24</v>
      </c>
    </row>
    <row r="42" spans="1:7" x14ac:dyDescent="0.2">
      <c r="A42">
        <v>41</v>
      </c>
      <c r="B42" t="s">
        <v>19</v>
      </c>
      <c r="C42">
        <v>171</v>
      </c>
      <c r="D42">
        <v>2.6</v>
      </c>
      <c r="E42">
        <v>7.41</v>
      </c>
      <c r="F42">
        <v>60</v>
      </c>
      <c r="G42" t="s">
        <v>22</v>
      </c>
    </row>
    <row r="43" spans="1:7" x14ac:dyDescent="0.2">
      <c r="A43">
        <v>42</v>
      </c>
      <c r="B43" t="s">
        <v>21</v>
      </c>
      <c r="C43">
        <v>86</v>
      </c>
      <c r="D43">
        <v>0.7</v>
      </c>
      <c r="E43">
        <v>1.43</v>
      </c>
      <c r="F43">
        <v>60</v>
      </c>
      <c r="G43" t="s">
        <v>22</v>
      </c>
    </row>
    <row r="44" spans="1:7" x14ac:dyDescent="0.2">
      <c r="A44">
        <v>43</v>
      </c>
      <c r="B44" t="s">
        <v>19</v>
      </c>
      <c r="C44">
        <v>176</v>
      </c>
      <c r="D44">
        <v>1.5</v>
      </c>
      <c r="E44">
        <v>5.39</v>
      </c>
      <c r="F44">
        <v>60</v>
      </c>
      <c r="G44" t="s">
        <v>22</v>
      </c>
    </row>
    <row r="45" spans="1:7" x14ac:dyDescent="0.2">
      <c r="A45">
        <v>44</v>
      </c>
      <c r="B45" t="s">
        <v>21</v>
      </c>
      <c r="C45">
        <v>135</v>
      </c>
      <c r="D45">
        <v>2.4</v>
      </c>
      <c r="E45">
        <v>9.5299999999999994</v>
      </c>
      <c r="F45">
        <v>60</v>
      </c>
      <c r="G45" t="s">
        <v>23</v>
      </c>
    </row>
    <row r="46" spans="1:7" x14ac:dyDescent="0.2">
      <c r="A46">
        <v>45</v>
      </c>
      <c r="B46" t="s">
        <v>19</v>
      </c>
      <c r="C46">
        <v>176</v>
      </c>
      <c r="D46">
        <v>1.3</v>
      </c>
      <c r="E46">
        <v>4.87</v>
      </c>
      <c r="F46">
        <v>50</v>
      </c>
      <c r="G46" t="s">
        <v>22</v>
      </c>
    </row>
    <row r="47" spans="1:7" x14ac:dyDescent="0.2">
      <c r="A47">
        <v>46</v>
      </c>
      <c r="B47" t="s">
        <v>19</v>
      </c>
      <c r="C47">
        <v>96</v>
      </c>
      <c r="D47">
        <v>0.8</v>
      </c>
      <c r="E47">
        <v>2.2599999999999998</v>
      </c>
      <c r="F47">
        <v>60</v>
      </c>
      <c r="G47" t="s">
        <v>23</v>
      </c>
    </row>
    <row r="48" spans="1:7" x14ac:dyDescent="0.2">
      <c r="A48">
        <v>47</v>
      </c>
      <c r="B48" t="s">
        <v>19</v>
      </c>
      <c r="C48">
        <v>94</v>
      </c>
      <c r="D48">
        <v>1.5</v>
      </c>
      <c r="E48">
        <v>4.7</v>
      </c>
      <c r="F48">
        <v>60</v>
      </c>
      <c r="G48" t="s">
        <v>23</v>
      </c>
    </row>
    <row r="49" spans="1:7" x14ac:dyDescent="0.2">
      <c r="A49">
        <v>48</v>
      </c>
      <c r="B49" t="s">
        <v>19</v>
      </c>
      <c r="C49">
        <v>161</v>
      </c>
      <c r="D49">
        <v>0.9</v>
      </c>
      <c r="E49">
        <v>4.26</v>
      </c>
      <c r="F49">
        <v>60</v>
      </c>
      <c r="G49" t="s">
        <v>23</v>
      </c>
    </row>
    <row r="50" spans="1:7" x14ac:dyDescent="0.2">
      <c r="A50">
        <v>49</v>
      </c>
      <c r="B50" t="s">
        <v>19</v>
      </c>
      <c r="C50">
        <v>178</v>
      </c>
      <c r="D50">
        <v>2.6</v>
      </c>
      <c r="E50">
        <v>15.43</v>
      </c>
      <c r="F50">
        <v>60</v>
      </c>
      <c r="G50" t="s">
        <v>23</v>
      </c>
    </row>
    <row r="51" spans="1:7" x14ac:dyDescent="0.2">
      <c r="A51">
        <v>50</v>
      </c>
      <c r="B51" t="s">
        <v>19</v>
      </c>
      <c r="C51">
        <v>95</v>
      </c>
      <c r="D51">
        <v>0.5</v>
      </c>
      <c r="E51">
        <v>1.06</v>
      </c>
      <c r="F51">
        <v>60</v>
      </c>
      <c r="G51" t="s">
        <v>22</v>
      </c>
    </row>
    <row r="52" spans="1:7" x14ac:dyDescent="0.2">
      <c r="A52">
        <v>51</v>
      </c>
      <c r="B52" t="s">
        <v>19</v>
      </c>
      <c r="C52">
        <v>174</v>
      </c>
      <c r="D52">
        <v>2.2000000000000002</v>
      </c>
      <c r="E52">
        <v>191.4</v>
      </c>
      <c r="F52">
        <v>60</v>
      </c>
      <c r="G52" t="s">
        <v>20</v>
      </c>
    </row>
    <row r="53" spans="1:7" x14ac:dyDescent="0.2">
      <c r="A53">
        <v>52</v>
      </c>
      <c r="B53" t="s">
        <v>19</v>
      </c>
      <c r="C53">
        <v>125</v>
      </c>
      <c r="D53">
        <v>2.9</v>
      </c>
      <c r="E53">
        <v>9.5399999999999991</v>
      </c>
      <c r="F53">
        <v>60</v>
      </c>
      <c r="G53" t="s">
        <v>22</v>
      </c>
    </row>
    <row r="54" spans="1:7" x14ac:dyDescent="0.2">
      <c r="A54">
        <v>53</v>
      </c>
      <c r="B54" t="s">
        <v>21</v>
      </c>
      <c r="C54">
        <v>148</v>
      </c>
      <c r="D54">
        <v>1.5</v>
      </c>
      <c r="E54">
        <v>44.4</v>
      </c>
      <c r="F54">
        <v>60</v>
      </c>
      <c r="G54" t="s">
        <v>20</v>
      </c>
    </row>
    <row r="55" spans="1:7" x14ac:dyDescent="0.2">
      <c r="A55">
        <v>54</v>
      </c>
      <c r="B55" t="s">
        <v>21</v>
      </c>
      <c r="C55">
        <v>144</v>
      </c>
      <c r="D55">
        <v>2.2999999999999998</v>
      </c>
      <c r="E55">
        <v>13.25</v>
      </c>
      <c r="F55">
        <v>80</v>
      </c>
      <c r="G55" t="s">
        <v>24</v>
      </c>
    </row>
    <row r="56" spans="1:7" x14ac:dyDescent="0.2">
      <c r="A56">
        <v>55</v>
      </c>
      <c r="B56" t="s">
        <v>21</v>
      </c>
      <c r="C56">
        <v>120</v>
      </c>
      <c r="D56">
        <v>0.7</v>
      </c>
      <c r="E56">
        <v>1.24</v>
      </c>
      <c r="F56">
        <v>70</v>
      </c>
      <c r="G56" t="s">
        <v>22</v>
      </c>
    </row>
    <row r="57" spans="1:7" x14ac:dyDescent="0.2">
      <c r="A57">
        <v>56</v>
      </c>
      <c r="B57" t="s">
        <v>19</v>
      </c>
      <c r="C57">
        <v>135</v>
      </c>
      <c r="D57">
        <v>1.3</v>
      </c>
      <c r="E57">
        <v>6.27</v>
      </c>
      <c r="F57">
        <v>60</v>
      </c>
      <c r="G57" t="s">
        <v>24</v>
      </c>
    </row>
    <row r="58" spans="1:7" x14ac:dyDescent="0.2">
      <c r="A58">
        <v>57</v>
      </c>
      <c r="B58" t="s">
        <v>21</v>
      </c>
      <c r="C58">
        <v>161</v>
      </c>
      <c r="D58">
        <v>1.2</v>
      </c>
      <c r="E58">
        <v>27.6</v>
      </c>
      <c r="F58">
        <v>50</v>
      </c>
      <c r="G58" t="s">
        <v>20</v>
      </c>
    </row>
    <row r="59" spans="1:7" x14ac:dyDescent="0.2">
      <c r="A59">
        <v>58</v>
      </c>
      <c r="B59" t="s">
        <v>19</v>
      </c>
      <c r="C59">
        <v>104</v>
      </c>
      <c r="D59">
        <v>2.6</v>
      </c>
      <c r="E59">
        <v>4.58</v>
      </c>
      <c r="F59">
        <v>60</v>
      </c>
      <c r="G59" t="s">
        <v>22</v>
      </c>
    </row>
    <row r="60" spans="1:7" x14ac:dyDescent="0.2">
      <c r="A60">
        <v>59</v>
      </c>
      <c r="B60" t="s">
        <v>21</v>
      </c>
      <c r="C60">
        <v>165</v>
      </c>
      <c r="D60">
        <v>2.2999999999999998</v>
      </c>
      <c r="E60">
        <v>6.43</v>
      </c>
      <c r="F60">
        <v>60</v>
      </c>
      <c r="G60" t="s">
        <v>22</v>
      </c>
    </row>
    <row r="61" spans="1:7" x14ac:dyDescent="0.2">
      <c r="A61">
        <v>60</v>
      </c>
      <c r="B61" t="s">
        <v>21</v>
      </c>
      <c r="C61">
        <v>111</v>
      </c>
      <c r="D61">
        <v>2</v>
      </c>
      <c r="E61">
        <v>6</v>
      </c>
      <c r="F61">
        <v>40</v>
      </c>
      <c r="G61" t="s">
        <v>22</v>
      </c>
    </row>
    <row r="62" spans="1:7" x14ac:dyDescent="0.2">
      <c r="A62">
        <v>61</v>
      </c>
      <c r="B62" t="s">
        <v>21</v>
      </c>
      <c r="C62">
        <v>134</v>
      </c>
      <c r="D62">
        <v>1.2</v>
      </c>
      <c r="E62">
        <v>4.0199999999999996</v>
      </c>
      <c r="F62">
        <v>60</v>
      </c>
      <c r="G62" t="s">
        <v>22</v>
      </c>
    </row>
    <row r="63" spans="1:7" x14ac:dyDescent="0.2">
      <c r="A63">
        <v>62</v>
      </c>
      <c r="B63" t="s">
        <v>21</v>
      </c>
      <c r="C63">
        <v>161</v>
      </c>
      <c r="D63">
        <v>1.5</v>
      </c>
      <c r="E63">
        <v>4.03</v>
      </c>
      <c r="F63">
        <v>60</v>
      </c>
      <c r="G63" t="s">
        <v>22</v>
      </c>
    </row>
    <row r="64" spans="1:7" x14ac:dyDescent="0.2">
      <c r="A64">
        <v>63</v>
      </c>
      <c r="B64" t="s">
        <v>19</v>
      </c>
      <c r="C64">
        <v>113</v>
      </c>
      <c r="D64">
        <v>1.2</v>
      </c>
      <c r="E64">
        <v>2.89</v>
      </c>
      <c r="F64">
        <v>60</v>
      </c>
      <c r="G64" t="s">
        <v>22</v>
      </c>
    </row>
    <row r="65" spans="1:7" x14ac:dyDescent="0.2">
      <c r="A65">
        <v>64</v>
      </c>
      <c r="B65" t="s">
        <v>19</v>
      </c>
      <c r="C65">
        <v>120</v>
      </c>
      <c r="D65">
        <v>2.2999999999999998</v>
      </c>
      <c r="E65">
        <v>10.62</v>
      </c>
      <c r="F65">
        <v>60</v>
      </c>
      <c r="G65" t="s">
        <v>24</v>
      </c>
    </row>
    <row r="66" spans="1:7" x14ac:dyDescent="0.2">
      <c r="A66">
        <v>65</v>
      </c>
      <c r="B66" t="s">
        <v>19</v>
      </c>
      <c r="C66">
        <v>101</v>
      </c>
      <c r="D66">
        <v>1.9</v>
      </c>
      <c r="E66">
        <v>4.46</v>
      </c>
      <c r="F66">
        <v>60</v>
      </c>
      <c r="G66" t="s">
        <v>22</v>
      </c>
    </row>
    <row r="67" spans="1:7" x14ac:dyDescent="0.2">
      <c r="A67">
        <v>66</v>
      </c>
      <c r="B67" t="s">
        <v>19</v>
      </c>
      <c r="C67">
        <v>153</v>
      </c>
      <c r="D67">
        <v>3</v>
      </c>
      <c r="E67">
        <v>16.39</v>
      </c>
      <c r="F67">
        <v>50</v>
      </c>
      <c r="G67" t="s">
        <v>23</v>
      </c>
    </row>
    <row r="68" spans="1:7" x14ac:dyDescent="0.2">
      <c r="A68">
        <v>67</v>
      </c>
      <c r="B68" t="s">
        <v>21</v>
      </c>
      <c r="C68">
        <v>148</v>
      </c>
      <c r="D68">
        <v>1.8</v>
      </c>
      <c r="E68">
        <v>5.44</v>
      </c>
      <c r="F68">
        <v>60</v>
      </c>
      <c r="G68" t="s">
        <v>22</v>
      </c>
    </row>
    <row r="69" spans="1:7" x14ac:dyDescent="0.2">
      <c r="A69">
        <v>68</v>
      </c>
      <c r="B69" t="s">
        <v>19</v>
      </c>
      <c r="C69">
        <v>94</v>
      </c>
      <c r="D69">
        <v>2.7</v>
      </c>
      <c r="E69">
        <v>14.1</v>
      </c>
      <c r="F69">
        <v>60</v>
      </c>
      <c r="G69" t="s">
        <v>20</v>
      </c>
    </row>
    <row r="70" spans="1:7" x14ac:dyDescent="0.2">
      <c r="A70">
        <v>69</v>
      </c>
      <c r="B70" t="s">
        <v>21</v>
      </c>
      <c r="C70">
        <v>91</v>
      </c>
      <c r="D70">
        <v>2.4</v>
      </c>
      <c r="E70">
        <v>7.05</v>
      </c>
      <c r="F70">
        <v>60</v>
      </c>
      <c r="G70" t="s">
        <v>23</v>
      </c>
    </row>
    <row r="71" spans="1:7" x14ac:dyDescent="0.2">
      <c r="A71">
        <v>70</v>
      </c>
      <c r="B71" t="s">
        <v>21</v>
      </c>
      <c r="C71">
        <v>166</v>
      </c>
      <c r="D71">
        <v>2.2999999999999998</v>
      </c>
      <c r="E71">
        <v>10.91</v>
      </c>
      <c r="F71">
        <v>60</v>
      </c>
      <c r="G71" t="s">
        <v>22</v>
      </c>
    </row>
    <row r="72" spans="1:7" x14ac:dyDescent="0.2">
      <c r="A72">
        <v>71</v>
      </c>
      <c r="B72" t="s">
        <v>26</v>
      </c>
      <c r="C72">
        <v>374</v>
      </c>
      <c r="D72">
        <v>2.5</v>
      </c>
      <c r="E72">
        <v>18.7</v>
      </c>
      <c r="F72">
        <v>60</v>
      </c>
      <c r="G72" t="s">
        <v>22</v>
      </c>
    </row>
    <row r="73" spans="1:7" x14ac:dyDescent="0.2">
      <c r="A73">
        <v>72</v>
      </c>
      <c r="B73" t="s">
        <v>25</v>
      </c>
      <c r="C73">
        <v>210</v>
      </c>
      <c r="D73">
        <v>3.3</v>
      </c>
      <c r="E73">
        <v>11.55</v>
      </c>
      <c r="F73">
        <v>80</v>
      </c>
      <c r="G73" t="s">
        <v>22</v>
      </c>
    </row>
    <row r="74" spans="1:7" x14ac:dyDescent="0.2">
      <c r="A74">
        <v>73</v>
      </c>
      <c r="B74" t="s">
        <v>26</v>
      </c>
      <c r="C74">
        <v>176</v>
      </c>
      <c r="D74">
        <v>3.3</v>
      </c>
      <c r="E74">
        <v>96.8</v>
      </c>
      <c r="F74">
        <v>80</v>
      </c>
      <c r="G74" t="s">
        <v>20</v>
      </c>
    </row>
    <row r="75" spans="1:7" x14ac:dyDescent="0.2">
      <c r="A75">
        <v>74</v>
      </c>
      <c r="B75" t="s">
        <v>25</v>
      </c>
      <c r="C75">
        <v>201</v>
      </c>
      <c r="D75">
        <v>2.8</v>
      </c>
      <c r="E75">
        <v>14.43</v>
      </c>
      <c r="F75">
        <v>90</v>
      </c>
      <c r="G75" t="s">
        <v>23</v>
      </c>
    </row>
    <row r="76" spans="1:7" x14ac:dyDescent="0.2">
      <c r="A76">
        <v>75</v>
      </c>
      <c r="B76" t="s">
        <v>26</v>
      </c>
      <c r="C76">
        <v>146</v>
      </c>
      <c r="D76">
        <v>2.2000000000000002</v>
      </c>
      <c r="E76">
        <v>7.65</v>
      </c>
      <c r="F76">
        <v>80</v>
      </c>
      <c r="G76" t="s">
        <v>23</v>
      </c>
    </row>
    <row r="77" spans="1:7" x14ac:dyDescent="0.2">
      <c r="A77">
        <v>76</v>
      </c>
      <c r="B77" t="s">
        <v>25</v>
      </c>
      <c r="C77">
        <v>196</v>
      </c>
      <c r="D77">
        <v>2.2000000000000002</v>
      </c>
      <c r="E77">
        <v>23.96</v>
      </c>
      <c r="F77">
        <v>60</v>
      </c>
      <c r="G77" t="s">
        <v>20</v>
      </c>
    </row>
    <row r="78" spans="1:7" x14ac:dyDescent="0.2">
      <c r="A78">
        <v>77</v>
      </c>
      <c r="B78" t="s">
        <v>25</v>
      </c>
      <c r="C78">
        <v>461</v>
      </c>
      <c r="D78">
        <v>4.5999999999999996</v>
      </c>
      <c r="E78">
        <v>54.37</v>
      </c>
      <c r="F78">
        <v>80</v>
      </c>
      <c r="G78" t="s">
        <v>23</v>
      </c>
    </row>
    <row r="79" spans="1:7" x14ac:dyDescent="0.2">
      <c r="A79">
        <v>78</v>
      </c>
      <c r="B79" t="s">
        <v>25</v>
      </c>
      <c r="C79">
        <v>478</v>
      </c>
      <c r="D79">
        <v>2.2000000000000002</v>
      </c>
      <c r="E79">
        <v>36.26</v>
      </c>
      <c r="F79">
        <v>60</v>
      </c>
      <c r="G79" t="s">
        <v>24</v>
      </c>
    </row>
    <row r="80" spans="1:7" x14ac:dyDescent="0.2">
      <c r="A80">
        <v>79</v>
      </c>
      <c r="B80" t="s">
        <v>25</v>
      </c>
      <c r="C80">
        <v>175</v>
      </c>
      <c r="D80">
        <v>2.9</v>
      </c>
      <c r="E80">
        <v>14.93</v>
      </c>
      <c r="F80">
        <v>70</v>
      </c>
      <c r="G80" t="s">
        <v>23</v>
      </c>
    </row>
    <row r="81" spans="1:7" x14ac:dyDescent="0.2">
      <c r="A81">
        <v>80</v>
      </c>
      <c r="B81" t="s">
        <v>25</v>
      </c>
      <c r="C81">
        <v>476</v>
      </c>
      <c r="D81">
        <v>4</v>
      </c>
      <c r="E81">
        <v>57.7</v>
      </c>
      <c r="F81">
        <v>80</v>
      </c>
      <c r="G81" t="s">
        <v>24</v>
      </c>
    </row>
    <row r="82" spans="1:7" x14ac:dyDescent="0.2">
      <c r="A82">
        <v>81</v>
      </c>
      <c r="B82" t="s">
        <v>19</v>
      </c>
      <c r="C82">
        <v>172</v>
      </c>
      <c r="D82">
        <v>1.1000000000000001</v>
      </c>
      <c r="E82">
        <v>9.9600000000000009</v>
      </c>
      <c r="F82">
        <v>60</v>
      </c>
      <c r="G82" t="s">
        <v>20</v>
      </c>
    </row>
    <row r="83" spans="1:7" x14ac:dyDescent="0.2">
      <c r="A83">
        <v>82</v>
      </c>
      <c r="B83" t="s">
        <v>26</v>
      </c>
      <c r="C83">
        <v>336</v>
      </c>
      <c r="D83">
        <v>2.2000000000000002</v>
      </c>
      <c r="E83">
        <v>35.200000000000003</v>
      </c>
      <c r="F83">
        <v>90</v>
      </c>
      <c r="G83" t="s">
        <v>24</v>
      </c>
    </row>
    <row r="84" spans="1:7" x14ac:dyDescent="0.2">
      <c r="A84">
        <v>83</v>
      </c>
      <c r="B84" t="s">
        <v>19</v>
      </c>
      <c r="C84">
        <v>96</v>
      </c>
      <c r="D84">
        <v>3</v>
      </c>
      <c r="E84">
        <v>5.76</v>
      </c>
      <c r="F84">
        <v>60</v>
      </c>
      <c r="G84" t="s">
        <v>22</v>
      </c>
    </row>
    <row r="85" spans="1:7" x14ac:dyDescent="0.2">
      <c r="A85">
        <v>84</v>
      </c>
      <c r="B85" t="s">
        <v>19</v>
      </c>
      <c r="C85">
        <v>105</v>
      </c>
      <c r="D85">
        <v>2.8</v>
      </c>
      <c r="E85">
        <v>73.5</v>
      </c>
      <c r="F85">
        <v>60</v>
      </c>
      <c r="G85" t="s">
        <v>20</v>
      </c>
    </row>
    <row r="86" spans="1:7" x14ac:dyDescent="0.2">
      <c r="A86">
        <v>85</v>
      </c>
      <c r="B86" t="s">
        <v>21</v>
      </c>
      <c r="C86">
        <v>122</v>
      </c>
      <c r="D86">
        <v>1</v>
      </c>
      <c r="E86">
        <v>17.43</v>
      </c>
      <c r="F86">
        <v>60</v>
      </c>
      <c r="G86" t="s">
        <v>20</v>
      </c>
    </row>
    <row r="87" spans="1:7" x14ac:dyDescent="0.2">
      <c r="A87">
        <v>86</v>
      </c>
      <c r="B87" t="s">
        <v>21</v>
      </c>
      <c r="C87">
        <v>126</v>
      </c>
      <c r="D87">
        <v>1.7</v>
      </c>
      <c r="E87">
        <v>4.28</v>
      </c>
      <c r="F87">
        <v>60</v>
      </c>
      <c r="G87" t="s">
        <v>22</v>
      </c>
    </row>
    <row r="88" spans="1:7" x14ac:dyDescent="0.2">
      <c r="A88">
        <v>87</v>
      </c>
      <c r="B88" t="s">
        <v>19</v>
      </c>
      <c r="C88">
        <v>146</v>
      </c>
      <c r="D88">
        <v>0.5</v>
      </c>
      <c r="E88">
        <v>14.6</v>
      </c>
      <c r="F88">
        <v>60</v>
      </c>
      <c r="G88" t="s">
        <v>20</v>
      </c>
    </row>
    <row r="89" spans="1:7" x14ac:dyDescent="0.2">
      <c r="A89">
        <v>88</v>
      </c>
      <c r="B89" t="s">
        <v>19</v>
      </c>
      <c r="C89">
        <v>157</v>
      </c>
      <c r="D89">
        <v>1.8</v>
      </c>
      <c r="E89">
        <v>6.14</v>
      </c>
      <c r="F89">
        <v>60</v>
      </c>
      <c r="G89" t="s">
        <v>22</v>
      </c>
    </row>
    <row r="90" spans="1:7" x14ac:dyDescent="0.2">
      <c r="A90">
        <v>89</v>
      </c>
      <c r="B90" t="s">
        <v>25</v>
      </c>
      <c r="C90">
        <v>257</v>
      </c>
      <c r="D90">
        <v>3.9</v>
      </c>
      <c r="E90">
        <v>17.899999999999999</v>
      </c>
      <c r="F90">
        <v>90</v>
      </c>
      <c r="G90" t="s">
        <v>22</v>
      </c>
    </row>
    <row r="91" spans="1:7" x14ac:dyDescent="0.2">
      <c r="A91">
        <v>90</v>
      </c>
      <c r="B91" t="s">
        <v>26</v>
      </c>
      <c r="C91">
        <v>286</v>
      </c>
      <c r="D91">
        <v>3.2</v>
      </c>
      <c r="E91">
        <v>76.27</v>
      </c>
      <c r="F91">
        <v>40</v>
      </c>
      <c r="G91" t="s">
        <v>20</v>
      </c>
    </row>
    <row r="92" spans="1:7" x14ac:dyDescent="0.2">
      <c r="A92">
        <v>91</v>
      </c>
      <c r="B92" t="s">
        <v>25</v>
      </c>
      <c r="C92">
        <v>454</v>
      </c>
      <c r="D92">
        <v>2.9</v>
      </c>
      <c r="E92">
        <v>42.47</v>
      </c>
      <c r="F92">
        <v>80</v>
      </c>
      <c r="G92" t="s">
        <v>24</v>
      </c>
    </row>
    <row r="93" spans="1:7" x14ac:dyDescent="0.2">
      <c r="A93">
        <v>92</v>
      </c>
      <c r="B93" t="s">
        <v>25</v>
      </c>
      <c r="C93">
        <v>464</v>
      </c>
      <c r="D93">
        <v>4.7</v>
      </c>
      <c r="E93">
        <v>155.77000000000001</v>
      </c>
      <c r="F93">
        <v>100</v>
      </c>
      <c r="G93" t="s">
        <v>20</v>
      </c>
    </row>
    <row r="94" spans="1:7" x14ac:dyDescent="0.2">
      <c r="A94">
        <v>93</v>
      </c>
      <c r="B94" t="s">
        <v>25</v>
      </c>
      <c r="C94">
        <v>184</v>
      </c>
      <c r="D94">
        <v>3.1</v>
      </c>
      <c r="E94">
        <v>13.91</v>
      </c>
      <c r="F94">
        <v>60</v>
      </c>
      <c r="G94" t="s">
        <v>22</v>
      </c>
    </row>
    <row r="95" spans="1:7" x14ac:dyDescent="0.2">
      <c r="A95">
        <v>94</v>
      </c>
      <c r="B95" t="s">
        <v>25</v>
      </c>
      <c r="C95">
        <v>159</v>
      </c>
      <c r="D95">
        <v>4</v>
      </c>
      <c r="E95">
        <v>9.35</v>
      </c>
      <c r="F95">
        <v>80</v>
      </c>
      <c r="G95" t="s">
        <v>22</v>
      </c>
    </row>
    <row r="96" spans="1:7" x14ac:dyDescent="0.2">
      <c r="A96">
        <v>95</v>
      </c>
      <c r="B96" t="s">
        <v>25</v>
      </c>
      <c r="C96">
        <v>316</v>
      </c>
      <c r="D96">
        <v>4.9000000000000004</v>
      </c>
      <c r="E96">
        <v>17.02</v>
      </c>
      <c r="F96">
        <v>100</v>
      </c>
      <c r="G96" t="s">
        <v>22</v>
      </c>
    </row>
    <row r="97" spans="1:7" x14ac:dyDescent="0.2">
      <c r="A97">
        <v>96</v>
      </c>
      <c r="B97" t="s">
        <v>25</v>
      </c>
      <c r="C97">
        <v>417</v>
      </c>
      <c r="D97">
        <v>3.1</v>
      </c>
      <c r="E97">
        <v>28.1</v>
      </c>
      <c r="F97">
        <v>60</v>
      </c>
      <c r="G97" t="s">
        <v>22</v>
      </c>
    </row>
    <row r="98" spans="1:7" x14ac:dyDescent="0.2">
      <c r="A98">
        <v>97</v>
      </c>
      <c r="B98" t="s">
        <v>25</v>
      </c>
      <c r="C98">
        <v>447</v>
      </c>
      <c r="D98">
        <v>3.7</v>
      </c>
      <c r="E98">
        <v>183.77</v>
      </c>
      <c r="F98">
        <v>80</v>
      </c>
      <c r="G98" t="s">
        <v>20</v>
      </c>
    </row>
    <row r="99" spans="1:7" x14ac:dyDescent="0.2">
      <c r="A99">
        <v>98</v>
      </c>
      <c r="B99" t="s">
        <v>26</v>
      </c>
      <c r="C99">
        <v>391</v>
      </c>
      <c r="D99">
        <v>4.8</v>
      </c>
      <c r="E99">
        <v>33.51</v>
      </c>
      <c r="F99">
        <v>90</v>
      </c>
      <c r="G99" t="s">
        <v>22</v>
      </c>
    </row>
    <row r="100" spans="1:7" x14ac:dyDescent="0.2">
      <c r="A100">
        <v>99</v>
      </c>
      <c r="B100" t="s">
        <v>26</v>
      </c>
      <c r="C100">
        <v>481</v>
      </c>
      <c r="D100">
        <v>2.7</v>
      </c>
      <c r="E100">
        <v>12.99</v>
      </c>
      <c r="F100">
        <v>120</v>
      </c>
      <c r="G100" t="s">
        <v>22</v>
      </c>
    </row>
    <row r="101" spans="1:7" x14ac:dyDescent="0.2">
      <c r="A101">
        <v>100</v>
      </c>
      <c r="B101" t="s">
        <v>26</v>
      </c>
      <c r="C101">
        <v>463</v>
      </c>
      <c r="D101">
        <v>3.3</v>
      </c>
      <c r="E101">
        <v>14.02</v>
      </c>
      <c r="F101">
        <v>120</v>
      </c>
      <c r="G101" t="s">
        <v>22</v>
      </c>
    </row>
    <row r="102" spans="1:7" x14ac:dyDescent="0.2">
      <c r="A102">
        <v>101</v>
      </c>
      <c r="B102" t="s">
        <v>26</v>
      </c>
      <c r="C102">
        <v>333</v>
      </c>
      <c r="D102">
        <v>3</v>
      </c>
      <c r="E102">
        <v>17.22</v>
      </c>
      <c r="F102">
        <v>60</v>
      </c>
      <c r="G102" t="s">
        <v>22</v>
      </c>
    </row>
    <row r="103" spans="1:7" x14ac:dyDescent="0.2">
      <c r="A103">
        <v>102</v>
      </c>
      <c r="B103" t="s">
        <v>26</v>
      </c>
      <c r="C103">
        <v>162</v>
      </c>
      <c r="D103">
        <v>3.6</v>
      </c>
      <c r="E103">
        <v>11</v>
      </c>
      <c r="F103">
        <v>80</v>
      </c>
      <c r="G103" t="s">
        <v>22</v>
      </c>
    </row>
    <row r="104" spans="1:7" x14ac:dyDescent="0.2">
      <c r="A104">
        <v>103</v>
      </c>
      <c r="B104" t="s">
        <v>26</v>
      </c>
      <c r="C104">
        <v>317</v>
      </c>
      <c r="D104">
        <v>2.1</v>
      </c>
      <c r="E104">
        <v>9.7899999999999991</v>
      </c>
      <c r="F104">
        <v>120</v>
      </c>
      <c r="G104" t="s">
        <v>23</v>
      </c>
    </row>
    <row r="105" spans="1:7" x14ac:dyDescent="0.2">
      <c r="A105">
        <v>104</v>
      </c>
      <c r="B105" t="s">
        <v>26</v>
      </c>
      <c r="C105">
        <v>408</v>
      </c>
      <c r="D105">
        <v>4.7</v>
      </c>
      <c r="E105">
        <v>319.60000000000002</v>
      </c>
      <c r="F105">
        <v>120</v>
      </c>
      <c r="G105" t="s">
        <v>20</v>
      </c>
    </row>
    <row r="106" spans="1:7" x14ac:dyDescent="0.2">
      <c r="A106">
        <v>105</v>
      </c>
      <c r="B106" t="s">
        <v>19</v>
      </c>
      <c r="C106">
        <v>87</v>
      </c>
      <c r="D106">
        <v>1</v>
      </c>
      <c r="E106">
        <v>2.12</v>
      </c>
      <c r="F106">
        <v>60</v>
      </c>
      <c r="G106" t="s">
        <v>22</v>
      </c>
    </row>
    <row r="107" spans="1:7" x14ac:dyDescent="0.2">
      <c r="A107">
        <v>106</v>
      </c>
      <c r="B107" t="s">
        <v>21</v>
      </c>
      <c r="C107">
        <v>166</v>
      </c>
      <c r="D107">
        <v>0.5</v>
      </c>
      <c r="E107">
        <v>1.69</v>
      </c>
      <c r="F107">
        <v>60</v>
      </c>
      <c r="G107" t="s">
        <v>22</v>
      </c>
    </row>
    <row r="108" spans="1:7" x14ac:dyDescent="0.2">
      <c r="A108">
        <v>107</v>
      </c>
      <c r="B108" t="s">
        <v>26</v>
      </c>
      <c r="C108">
        <v>327</v>
      </c>
      <c r="D108">
        <v>2.2999999999999998</v>
      </c>
      <c r="E108">
        <v>25.07</v>
      </c>
      <c r="F108">
        <v>80</v>
      </c>
      <c r="G108" t="s">
        <v>24</v>
      </c>
    </row>
    <row r="109" spans="1:7" x14ac:dyDescent="0.2">
      <c r="A109">
        <v>108</v>
      </c>
      <c r="B109" t="s">
        <v>21</v>
      </c>
      <c r="C109">
        <v>115</v>
      </c>
      <c r="D109">
        <v>2.6</v>
      </c>
      <c r="E109">
        <v>29.9</v>
      </c>
      <c r="F109">
        <v>60</v>
      </c>
      <c r="G109" t="s">
        <v>20</v>
      </c>
    </row>
    <row r="110" spans="1:7" x14ac:dyDescent="0.2">
      <c r="A110">
        <v>109</v>
      </c>
      <c r="B110" t="s">
        <v>19</v>
      </c>
      <c r="C110">
        <v>117</v>
      </c>
      <c r="D110">
        <v>3</v>
      </c>
      <c r="E110">
        <v>5.95</v>
      </c>
      <c r="F110">
        <v>60</v>
      </c>
      <c r="G110" t="s">
        <v>22</v>
      </c>
    </row>
    <row r="111" spans="1:7" x14ac:dyDescent="0.2">
      <c r="A111">
        <v>110</v>
      </c>
      <c r="B111" t="s">
        <v>21</v>
      </c>
      <c r="C111">
        <v>137</v>
      </c>
      <c r="D111">
        <v>2.1</v>
      </c>
      <c r="E111">
        <v>4.8</v>
      </c>
      <c r="F111">
        <v>60</v>
      </c>
      <c r="G111" t="s">
        <v>22</v>
      </c>
    </row>
    <row r="112" spans="1:7" x14ac:dyDescent="0.2">
      <c r="A112">
        <v>111</v>
      </c>
      <c r="B112" t="s">
        <v>25</v>
      </c>
      <c r="C112">
        <v>338</v>
      </c>
      <c r="D112">
        <v>4.5999999999999996</v>
      </c>
      <c r="E112">
        <v>37.020000000000003</v>
      </c>
      <c r="F112">
        <v>90</v>
      </c>
      <c r="G112" t="s">
        <v>23</v>
      </c>
    </row>
    <row r="113" spans="1:7" x14ac:dyDescent="0.2">
      <c r="A113">
        <v>112</v>
      </c>
      <c r="B113" t="s">
        <v>26</v>
      </c>
      <c r="C113">
        <v>301</v>
      </c>
      <c r="D113">
        <v>2.2999999999999998</v>
      </c>
      <c r="E113">
        <v>18.22</v>
      </c>
      <c r="F113">
        <v>40</v>
      </c>
      <c r="G113" t="s">
        <v>23</v>
      </c>
    </row>
    <row r="114" spans="1:7" x14ac:dyDescent="0.2">
      <c r="A114">
        <v>113</v>
      </c>
      <c r="B114" t="s">
        <v>26</v>
      </c>
      <c r="C114">
        <v>208</v>
      </c>
      <c r="D114">
        <v>2.5</v>
      </c>
      <c r="E114">
        <v>11.06</v>
      </c>
      <c r="F114">
        <v>80</v>
      </c>
      <c r="G114" t="s">
        <v>23</v>
      </c>
    </row>
    <row r="115" spans="1:7" x14ac:dyDescent="0.2">
      <c r="A115">
        <v>114</v>
      </c>
      <c r="B115" t="s">
        <v>26</v>
      </c>
      <c r="C115">
        <v>206</v>
      </c>
      <c r="D115">
        <v>4</v>
      </c>
      <c r="E115">
        <v>21.68</v>
      </c>
      <c r="F115">
        <v>80</v>
      </c>
      <c r="G115" t="s">
        <v>23</v>
      </c>
    </row>
    <row r="116" spans="1:7" x14ac:dyDescent="0.2">
      <c r="A116">
        <v>115</v>
      </c>
      <c r="B116" t="s">
        <v>25</v>
      </c>
      <c r="C116">
        <v>370</v>
      </c>
      <c r="D116">
        <v>3.2</v>
      </c>
      <c r="E116">
        <v>49.33</v>
      </c>
      <c r="F116">
        <v>60</v>
      </c>
      <c r="G116" t="s">
        <v>24</v>
      </c>
    </row>
    <row r="117" spans="1:7" x14ac:dyDescent="0.2">
      <c r="A117">
        <v>116</v>
      </c>
      <c r="B117" t="s">
        <v>25</v>
      </c>
      <c r="C117">
        <v>154</v>
      </c>
      <c r="D117">
        <v>4</v>
      </c>
      <c r="E117">
        <v>47.38</v>
      </c>
      <c r="F117">
        <v>120</v>
      </c>
      <c r="G117" t="s">
        <v>20</v>
      </c>
    </row>
    <row r="118" spans="1:7" x14ac:dyDescent="0.2">
      <c r="A118">
        <v>117</v>
      </c>
      <c r="B118" t="s">
        <v>26</v>
      </c>
      <c r="C118">
        <v>403</v>
      </c>
      <c r="D118">
        <v>4.9000000000000004</v>
      </c>
      <c r="E118">
        <v>42.93</v>
      </c>
      <c r="F118">
        <v>80</v>
      </c>
      <c r="G118" t="s">
        <v>23</v>
      </c>
    </row>
    <row r="119" spans="1:7" x14ac:dyDescent="0.2">
      <c r="A119">
        <v>118</v>
      </c>
      <c r="B119" t="s">
        <v>26</v>
      </c>
      <c r="C119">
        <v>282</v>
      </c>
      <c r="D119">
        <v>3.6</v>
      </c>
      <c r="E119">
        <v>48.34</v>
      </c>
      <c r="F119">
        <v>70</v>
      </c>
      <c r="G119" t="s">
        <v>24</v>
      </c>
    </row>
    <row r="120" spans="1:7" x14ac:dyDescent="0.2">
      <c r="A120">
        <v>119</v>
      </c>
      <c r="B120" t="s">
        <v>25</v>
      </c>
      <c r="C120">
        <v>352</v>
      </c>
      <c r="D120">
        <v>2.8</v>
      </c>
      <c r="E120">
        <v>18.25</v>
      </c>
      <c r="F120">
        <v>110</v>
      </c>
      <c r="G120" t="s">
        <v>23</v>
      </c>
    </row>
    <row r="121" spans="1:7" x14ac:dyDescent="0.2">
      <c r="A121">
        <v>120</v>
      </c>
      <c r="B121" t="s">
        <v>21</v>
      </c>
      <c r="C121">
        <v>100</v>
      </c>
      <c r="D121">
        <v>1.2</v>
      </c>
      <c r="E121">
        <v>4.29</v>
      </c>
      <c r="F121">
        <v>60</v>
      </c>
      <c r="G121" t="s">
        <v>24</v>
      </c>
    </row>
    <row r="122" spans="1:7" x14ac:dyDescent="0.2">
      <c r="A122">
        <v>121</v>
      </c>
      <c r="B122" t="s">
        <v>19</v>
      </c>
      <c r="C122">
        <v>176</v>
      </c>
      <c r="D122">
        <v>3</v>
      </c>
      <c r="E122">
        <v>8.9499999999999993</v>
      </c>
      <c r="F122">
        <v>60</v>
      </c>
      <c r="G122" t="s">
        <v>22</v>
      </c>
    </row>
    <row r="123" spans="1:7" x14ac:dyDescent="0.2">
      <c r="A123">
        <v>122</v>
      </c>
      <c r="B123" t="s">
        <v>21</v>
      </c>
      <c r="C123">
        <v>124</v>
      </c>
      <c r="D123">
        <v>2.1</v>
      </c>
      <c r="E123">
        <v>5.31</v>
      </c>
      <c r="F123">
        <v>80</v>
      </c>
      <c r="G123" t="s">
        <v>22</v>
      </c>
    </row>
    <row r="124" spans="1:7" x14ac:dyDescent="0.2">
      <c r="A124">
        <v>123</v>
      </c>
      <c r="B124" t="s">
        <v>19</v>
      </c>
      <c r="C124">
        <v>101</v>
      </c>
      <c r="D124">
        <v>1.8</v>
      </c>
      <c r="E124">
        <v>6.99</v>
      </c>
      <c r="F124">
        <v>60</v>
      </c>
      <c r="G124" t="s">
        <v>24</v>
      </c>
    </row>
    <row r="125" spans="1:7" x14ac:dyDescent="0.2">
      <c r="A125">
        <v>124</v>
      </c>
      <c r="B125" t="s">
        <v>21</v>
      </c>
      <c r="C125">
        <v>173</v>
      </c>
      <c r="D125">
        <v>1.3</v>
      </c>
      <c r="E125">
        <v>5.92</v>
      </c>
      <c r="F125">
        <v>60</v>
      </c>
      <c r="G125" t="s">
        <v>22</v>
      </c>
    </row>
    <row r="126" spans="1:7" x14ac:dyDescent="0.2">
      <c r="A126">
        <v>125</v>
      </c>
      <c r="B126" t="s">
        <v>19</v>
      </c>
      <c r="C126">
        <v>169</v>
      </c>
      <c r="D126">
        <v>1.9</v>
      </c>
      <c r="E126">
        <v>11.47</v>
      </c>
      <c r="F126">
        <v>60</v>
      </c>
      <c r="G126" t="s">
        <v>24</v>
      </c>
    </row>
    <row r="127" spans="1:7" x14ac:dyDescent="0.2">
      <c r="A127">
        <v>126</v>
      </c>
      <c r="B127" t="s">
        <v>25</v>
      </c>
      <c r="C127">
        <v>450</v>
      </c>
      <c r="D127">
        <v>5</v>
      </c>
      <c r="E127">
        <v>43.27</v>
      </c>
      <c r="F127">
        <v>90</v>
      </c>
      <c r="G127" t="s">
        <v>23</v>
      </c>
    </row>
    <row r="128" spans="1:7" x14ac:dyDescent="0.2">
      <c r="A128">
        <v>127</v>
      </c>
      <c r="B128" t="s">
        <v>25</v>
      </c>
      <c r="C128">
        <v>309</v>
      </c>
      <c r="D128">
        <v>4</v>
      </c>
      <c r="E128">
        <v>30.15</v>
      </c>
      <c r="F128">
        <v>70</v>
      </c>
      <c r="G128" t="s">
        <v>23</v>
      </c>
    </row>
    <row r="129" spans="1:7" x14ac:dyDescent="0.2">
      <c r="A129">
        <v>128</v>
      </c>
      <c r="B129" t="s">
        <v>25</v>
      </c>
      <c r="C129">
        <v>176</v>
      </c>
      <c r="D129">
        <v>3.9</v>
      </c>
      <c r="E129">
        <v>137.28</v>
      </c>
      <c r="F129">
        <v>60</v>
      </c>
      <c r="G129" t="s">
        <v>20</v>
      </c>
    </row>
    <row r="130" spans="1:7" x14ac:dyDescent="0.2">
      <c r="A130">
        <v>129</v>
      </c>
      <c r="B130" t="s">
        <v>25</v>
      </c>
      <c r="C130">
        <v>169</v>
      </c>
      <c r="D130">
        <v>2.2000000000000002</v>
      </c>
      <c r="E130">
        <v>9.07</v>
      </c>
      <c r="F130">
        <v>70</v>
      </c>
      <c r="G130" t="s">
        <v>23</v>
      </c>
    </row>
    <row r="131" spans="1:7" x14ac:dyDescent="0.2">
      <c r="A131">
        <v>130</v>
      </c>
      <c r="B131" t="s">
        <v>25</v>
      </c>
      <c r="C131">
        <v>274</v>
      </c>
      <c r="D131">
        <v>3.3</v>
      </c>
      <c r="E131">
        <v>14.82</v>
      </c>
      <c r="F131">
        <v>80</v>
      </c>
      <c r="G131" t="s">
        <v>22</v>
      </c>
    </row>
    <row r="132" spans="1:7" x14ac:dyDescent="0.2">
      <c r="A132">
        <v>131</v>
      </c>
      <c r="B132" t="s">
        <v>26</v>
      </c>
      <c r="C132">
        <v>168</v>
      </c>
      <c r="D132">
        <v>3</v>
      </c>
      <c r="E132">
        <v>7.2</v>
      </c>
      <c r="F132">
        <v>100</v>
      </c>
      <c r="G132" t="s">
        <v>22</v>
      </c>
    </row>
    <row r="133" spans="1:7" x14ac:dyDescent="0.2">
      <c r="A133">
        <v>132</v>
      </c>
      <c r="B133" t="s">
        <v>25</v>
      </c>
      <c r="C133">
        <v>482</v>
      </c>
      <c r="D133">
        <v>4</v>
      </c>
      <c r="E133">
        <v>27.54</v>
      </c>
      <c r="F133">
        <v>80</v>
      </c>
      <c r="G133" t="s">
        <v>22</v>
      </c>
    </row>
    <row r="134" spans="1:7" x14ac:dyDescent="0.2">
      <c r="A134">
        <v>133</v>
      </c>
      <c r="B134" t="s">
        <v>25</v>
      </c>
      <c r="C134">
        <v>423</v>
      </c>
      <c r="D134">
        <v>2.9</v>
      </c>
      <c r="E134">
        <v>64.56</v>
      </c>
      <c r="F134">
        <v>70</v>
      </c>
      <c r="G134" t="s">
        <v>20</v>
      </c>
    </row>
    <row r="135" spans="1:7" x14ac:dyDescent="0.2">
      <c r="A135">
        <v>134</v>
      </c>
      <c r="B135" t="s">
        <v>25</v>
      </c>
      <c r="C135">
        <v>459</v>
      </c>
      <c r="D135">
        <v>2.1</v>
      </c>
      <c r="E135">
        <v>16.62</v>
      </c>
      <c r="F135">
        <v>80</v>
      </c>
      <c r="G135" t="s">
        <v>22</v>
      </c>
    </row>
    <row r="136" spans="1:7" x14ac:dyDescent="0.2">
      <c r="A136">
        <v>135</v>
      </c>
      <c r="B136" t="s">
        <v>25</v>
      </c>
      <c r="C136">
        <v>148</v>
      </c>
      <c r="D136">
        <v>2.8</v>
      </c>
      <c r="E136">
        <v>414.4</v>
      </c>
      <c r="F136">
        <v>50</v>
      </c>
      <c r="G136" t="s">
        <v>20</v>
      </c>
    </row>
    <row r="137" spans="1:7" x14ac:dyDescent="0.2">
      <c r="A137">
        <v>136</v>
      </c>
      <c r="B137" t="s">
        <v>21</v>
      </c>
      <c r="C137">
        <v>146</v>
      </c>
      <c r="D137">
        <v>2.8</v>
      </c>
      <c r="E137">
        <v>12.02</v>
      </c>
      <c r="F137">
        <v>60</v>
      </c>
      <c r="G137" t="s">
        <v>23</v>
      </c>
    </row>
    <row r="138" spans="1:7" x14ac:dyDescent="0.2">
      <c r="A138">
        <v>137</v>
      </c>
      <c r="B138" t="s">
        <v>19</v>
      </c>
      <c r="C138">
        <v>155</v>
      </c>
      <c r="D138">
        <v>2.2999999999999998</v>
      </c>
      <c r="E138">
        <v>11.14</v>
      </c>
      <c r="F138">
        <v>60</v>
      </c>
      <c r="G138" t="s">
        <v>23</v>
      </c>
    </row>
    <row r="139" spans="1:7" x14ac:dyDescent="0.2">
      <c r="A139">
        <v>138</v>
      </c>
      <c r="B139" t="s">
        <v>19</v>
      </c>
      <c r="C139">
        <v>104</v>
      </c>
      <c r="D139">
        <v>1.7</v>
      </c>
      <c r="E139">
        <v>5.53</v>
      </c>
      <c r="F139">
        <v>80</v>
      </c>
      <c r="G139" t="s">
        <v>23</v>
      </c>
    </row>
    <row r="140" spans="1:7" x14ac:dyDescent="0.2">
      <c r="A140">
        <v>139</v>
      </c>
      <c r="B140" t="s">
        <v>19</v>
      </c>
      <c r="C140">
        <v>98</v>
      </c>
      <c r="D140">
        <v>3</v>
      </c>
      <c r="E140">
        <v>49</v>
      </c>
      <c r="F140">
        <v>60</v>
      </c>
      <c r="G140" t="s">
        <v>20</v>
      </c>
    </row>
    <row r="141" spans="1:7" x14ac:dyDescent="0.2">
      <c r="A141">
        <v>140</v>
      </c>
      <c r="B141" t="s">
        <v>21</v>
      </c>
      <c r="C141">
        <v>94</v>
      </c>
      <c r="D141">
        <v>1.1000000000000001</v>
      </c>
      <c r="E141">
        <v>14.77</v>
      </c>
      <c r="F141">
        <v>70</v>
      </c>
      <c r="G141" t="s">
        <v>20</v>
      </c>
    </row>
    <row r="142" spans="1:7" x14ac:dyDescent="0.2">
      <c r="A142">
        <v>141</v>
      </c>
      <c r="B142" t="s">
        <v>21</v>
      </c>
      <c r="C142">
        <v>97</v>
      </c>
      <c r="D142">
        <v>0.5</v>
      </c>
      <c r="E142">
        <v>2.31</v>
      </c>
      <c r="F142">
        <v>60</v>
      </c>
      <c r="G142" t="s">
        <v>24</v>
      </c>
    </row>
    <row r="143" spans="1:7" x14ac:dyDescent="0.2">
      <c r="A143">
        <v>142</v>
      </c>
      <c r="B143" t="s">
        <v>19</v>
      </c>
      <c r="C143">
        <v>87</v>
      </c>
      <c r="D143">
        <v>2.4</v>
      </c>
      <c r="E143">
        <v>52.2</v>
      </c>
      <c r="F143">
        <v>60</v>
      </c>
      <c r="G143" t="s">
        <v>20</v>
      </c>
    </row>
    <row r="144" spans="1:7" x14ac:dyDescent="0.2">
      <c r="A144">
        <v>143</v>
      </c>
      <c r="B144" t="s">
        <v>21</v>
      </c>
      <c r="C144">
        <v>127</v>
      </c>
      <c r="D144">
        <v>1.2</v>
      </c>
      <c r="E144">
        <v>4.92</v>
      </c>
      <c r="F144">
        <v>60</v>
      </c>
      <c r="G144" t="s">
        <v>23</v>
      </c>
    </row>
    <row r="145" spans="1:7" x14ac:dyDescent="0.2">
      <c r="A145">
        <v>144</v>
      </c>
      <c r="B145" t="s">
        <v>21</v>
      </c>
      <c r="C145">
        <v>134</v>
      </c>
      <c r="D145">
        <v>2.5</v>
      </c>
      <c r="E145">
        <v>5.23</v>
      </c>
      <c r="F145">
        <v>80</v>
      </c>
      <c r="G145" t="s">
        <v>22</v>
      </c>
    </row>
    <row r="146" spans="1:7" x14ac:dyDescent="0.2">
      <c r="A146">
        <v>145</v>
      </c>
      <c r="B146" t="s">
        <v>21</v>
      </c>
      <c r="C146">
        <v>104</v>
      </c>
      <c r="D146">
        <v>2.6</v>
      </c>
      <c r="E146">
        <v>14.23</v>
      </c>
      <c r="F146">
        <v>60</v>
      </c>
      <c r="G146" t="s">
        <v>20</v>
      </c>
    </row>
    <row r="147" spans="1:7" x14ac:dyDescent="0.2">
      <c r="A147">
        <v>146</v>
      </c>
      <c r="B147" t="s">
        <v>21</v>
      </c>
      <c r="C147">
        <v>133</v>
      </c>
      <c r="D147">
        <v>1.1000000000000001</v>
      </c>
      <c r="E147">
        <v>3.75</v>
      </c>
      <c r="F147">
        <v>60</v>
      </c>
      <c r="G147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35E2-5894-4787-A36B-64907F3FF6C9}">
  <dimension ref="A1:G51"/>
  <sheetViews>
    <sheetView workbookViewId="0">
      <selection activeCell="I28" sqref="I28"/>
    </sheetView>
  </sheetViews>
  <sheetFormatPr defaultRowHeight="14.25" x14ac:dyDescent="0.2"/>
  <sheetData>
    <row r="1" spans="1:7" x14ac:dyDescent="0.2">
      <c r="A1" t="s">
        <v>11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">
      <c r="A2">
        <v>1</v>
      </c>
      <c r="B2" t="s">
        <v>19</v>
      </c>
      <c r="C2">
        <v>141</v>
      </c>
      <c r="D2">
        <v>1.4</v>
      </c>
      <c r="E2">
        <v>49.35</v>
      </c>
      <c r="F2">
        <v>60</v>
      </c>
      <c r="G2">
        <v>0</v>
      </c>
    </row>
    <row r="3" spans="1:7" x14ac:dyDescent="0.2">
      <c r="A3">
        <v>63</v>
      </c>
      <c r="B3" t="s">
        <v>19</v>
      </c>
      <c r="C3">
        <v>181</v>
      </c>
      <c r="D3">
        <v>0.8</v>
      </c>
      <c r="E3">
        <v>3.22</v>
      </c>
      <c r="F3">
        <v>60</v>
      </c>
      <c r="G3">
        <v>0</v>
      </c>
    </row>
    <row r="4" spans="1:7" x14ac:dyDescent="0.2">
      <c r="A4">
        <v>64</v>
      </c>
      <c r="B4" t="s">
        <v>19</v>
      </c>
      <c r="C4">
        <v>129</v>
      </c>
      <c r="D4">
        <v>2.4</v>
      </c>
      <c r="E4">
        <v>9.11</v>
      </c>
      <c r="F4">
        <v>50</v>
      </c>
      <c r="G4">
        <v>0</v>
      </c>
    </row>
    <row r="5" spans="1:7" x14ac:dyDescent="0.2">
      <c r="A5">
        <v>65</v>
      </c>
      <c r="B5" t="s">
        <v>19</v>
      </c>
      <c r="C5">
        <v>137</v>
      </c>
      <c r="D5">
        <v>1.3</v>
      </c>
      <c r="E5">
        <v>2.41</v>
      </c>
      <c r="F5">
        <v>80</v>
      </c>
      <c r="G5">
        <v>0</v>
      </c>
    </row>
    <row r="6" spans="1:7" x14ac:dyDescent="0.2">
      <c r="A6">
        <v>66</v>
      </c>
      <c r="B6" t="s">
        <v>21</v>
      </c>
      <c r="C6">
        <v>178</v>
      </c>
      <c r="D6">
        <v>2.8</v>
      </c>
      <c r="E6">
        <v>12.78</v>
      </c>
      <c r="F6">
        <v>80</v>
      </c>
      <c r="G6">
        <v>0</v>
      </c>
    </row>
    <row r="7" spans="1:7" x14ac:dyDescent="0.2">
      <c r="A7">
        <v>67</v>
      </c>
      <c r="B7" t="s">
        <v>19</v>
      </c>
      <c r="C7">
        <v>85</v>
      </c>
      <c r="D7">
        <v>1.8</v>
      </c>
      <c r="E7">
        <v>9</v>
      </c>
      <c r="F7">
        <v>60</v>
      </c>
      <c r="G7">
        <v>0</v>
      </c>
    </row>
    <row r="8" spans="1:7" x14ac:dyDescent="0.2">
      <c r="A8">
        <v>68</v>
      </c>
      <c r="B8" t="s">
        <v>21</v>
      </c>
      <c r="C8">
        <v>136</v>
      </c>
      <c r="D8">
        <v>1.1000000000000001</v>
      </c>
      <c r="E8">
        <v>5.75</v>
      </c>
      <c r="F8">
        <v>80</v>
      </c>
      <c r="G8">
        <v>0</v>
      </c>
    </row>
    <row r="9" spans="1:7" x14ac:dyDescent="0.2">
      <c r="A9">
        <v>69</v>
      </c>
      <c r="B9" t="s">
        <v>21</v>
      </c>
      <c r="C9">
        <v>143</v>
      </c>
      <c r="D9">
        <v>2.7</v>
      </c>
      <c r="E9">
        <v>9.42</v>
      </c>
      <c r="F9">
        <v>60</v>
      </c>
      <c r="G9">
        <v>0</v>
      </c>
    </row>
    <row r="10" spans="1:7" x14ac:dyDescent="0.2">
      <c r="A10">
        <v>70</v>
      </c>
      <c r="B10" t="s">
        <v>21</v>
      </c>
      <c r="C10">
        <v>169</v>
      </c>
      <c r="D10">
        <v>0.6</v>
      </c>
      <c r="E10">
        <v>3.38</v>
      </c>
      <c r="F10">
        <v>40</v>
      </c>
      <c r="G10">
        <v>0</v>
      </c>
    </row>
    <row r="11" spans="1:7" x14ac:dyDescent="0.2">
      <c r="A11">
        <v>71</v>
      </c>
      <c r="B11" t="s">
        <v>25</v>
      </c>
      <c r="C11">
        <v>413</v>
      </c>
      <c r="D11">
        <v>4</v>
      </c>
      <c r="E11">
        <v>42.36</v>
      </c>
      <c r="F11">
        <v>80</v>
      </c>
      <c r="G11">
        <v>0</v>
      </c>
    </row>
    <row r="12" spans="1:7" x14ac:dyDescent="0.2">
      <c r="A12">
        <v>72</v>
      </c>
      <c r="B12" t="s">
        <v>26</v>
      </c>
      <c r="C12">
        <v>201</v>
      </c>
      <c r="D12">
        <v>3.1</v>
      </c>
      <c r="E12">
        <v>17.309999999999999</v>
      </c>
      <c r="F12">
        <v>120</v>
      </c>
      <c r="G12">
        <v>0</v>
      </c>
    </row>
    <row r="13" spans="1:7" x14ac:dyDescent="0.2">
      <c r="A13">
        <v>12</v>
      </c>
      <c r="B13" t="s">
        <v>21</v>
      </c>
      <c r="C13">
        <v>108</v>
      </c>
      <c r="D13">
        <v>1.9</v>
      </c>
      <c r="E13">
        <v>14.66</v>
      </c>
      <c r="F13">
        <v>60</v>
      </c>
      <c r="G13">
        <v>0</v>
      </c>
    </row>
    <row r="14" spans="1:7" x14ac:dyDescent="0.2">
      <c r="A14">
        <v>13</v>
      </c>
      <c r="B14" t="s">
        <v>21</v>
      </c>
      <c r="C14">
        <v>172</v>
      </c>
      <c r="D14">
        <v>1.1000000000000001</v>
      </c>
      <c r="E14">
        <v>3.26</v>
      </c>
      <c r="F14">
        <v>60</v>
      </c>
      <c r="G14">
        <v>0</v>
      </c>
    </row>
    <row r="15" spans="1:7" x14ac:dyDescent="0.2">
      <c r="A15">
        <v>14</v>
      </c>
      <c r="B15" t="s">
        <v>19</v>
      </c>
      <c r="C15">
        <v>108</v>
      </c>
      <c r="D15">
        <v>1.1000000000000001</v>
      </c>
      <c r="E15">
        <v>4.95</v>
      </c>
      <c r="F15">
        <v>60</v>
      </c>
      <c r="G15">
        <v>0</v>
      </c>
    </row>
    <row r="16" spans="1:7" x14ac:dyDescent="0.2">
      <c r="A16">
        <v>15</v>
      </c>
      <c r="B16" t="s">
        <v>21</v>
      </c>
      <c r="C16">
        <v>93</v>
      </c>
      <c r="D16">
        <v>2.6</v>
      </c>
      <c r="E16">
        <v>8.06</v>
      </c>
      <c r="F16">
        <v>60</v>
      </c>
      <c r="G16">
        <v>0</v>
      </c>
    </row>
    <row r="17" spans="1:7" x14ac:dyDescent="0.2">
      <c r="A17">
        <v>16</v>
      </c>
      <c r="B17" t="s">
        <v>19</v>
      </c>
      <c r="C17">
        <v>171</v>
      </c>
      <c r="D17">
        <v>2.6</v>
      </c>
      <c r="E17">
        <v>8.39</v>
      </c>
      <c r="F17">
        <v>60</v>
      </c>
      <c r="G17">
        <v>0</v>
      </c>
    </row>
    <row r="18" spans="1:7" x14ac:dyDescent="0.2">
      <c r="A18">
        <v>17</v>
      </c>
      <c r="B18" t="s">
        <v>21</v>
      </c>
      <c r="C18">
        <v>164</v>
      </c>
      <c r="D18">
        <v>0.6</v>
      </c>
      <c r="E18">
        <v>4.6900000000000004</v>
      </c>
      <c r="F18">
        <v>60</v>
      </c>
      <c r="G18">
        <v>0</v>
      </c>
    </row>
    <row r="19" spans="1:7" x14ac:dyDescent="0.2">
      <c r="A19">
        <v>18</v>
      </c>
      <c r="B19" t="s">
        <v>19</v>
      </c>
      <c r="C19">
        <v>101</v>
      </c>
      <c r="D19">
        <v>0.9</v>
      </c>
      <c r="E19">
        <v>3.13</v>
      </c>
      <c r="F19">
        <v>60</v>
      </c>
      <c r="G19">
        <v>0</v>
      </c>
    </row>
    <row r="20" spans="1:7" x14ac:dyDescent="0.2">
      <c r="A20">
        <v>19</v>
      </c>
      <c r="B20" t="s">
        <v>21</v>
      </c>
      <c r="C20">
        <v>98</v>
      </c>
      <c r="D20">
        <v>1.2</v>
      </c>
      <c r="E20">
        <v>5.1100000000000003</v>
      </c>
      <c r="F20">
        <v>70</v>
      </c>
      <c r="G20">
        <v>0</v>
      </c>
    </row>
    <row r="21" spans="1:7" x14ac:dyDescent="0.2">
      <c r="A21">
        <v>20</v>
      </c>
      <c r="B21" t="s">
        <v>25</v>
      </c>
      <c r="C21">
        <v>331</v>
      </c>
      <c r="D21">
        <v>4.7</v>
      </c>
      <c r="E21">
        <v>33.82</v>
      </c>
      <c r="F21">
        <v>60</v>
      </c>
      <c r="G21">
        <v>0</v>
      </c>
    </row>
    <row r="22" spans="1:7" x14ac:dyDescent="0.2">
      <c r="A22">
        <v>21</v>
      </c>
      <c r="B22" t="s">
        <v>26</v>
      </c>
      <c r="C22">
        <v>343</v>
      </c>
      <c r="D22">
        <v>3.9</v>
      </c>
      <c r="E22">
        <v>334.43</v>
      </c>
      <c r="F22">
        <v>90</v>
      </c>
      <c r="G22">
        <v>0</v>
      </c>
    </row>
    <row r="23" spans="1:7" x14ac:dyDescent="0.2">
      <c r="A23">
        <v>22</v>
      </c>
      <c r="B23" t="s">
        <v>26</v>
      </c>
      <c r="C23">
        <v>155</v>
      </c>
      <c r="D23">
        <v>2.7</v>
      </c>
      <c r="E23">
        <v>38.049999999999997</v>
      </c>
      <c r="F23">
        <v>50</v>
      </c>
      <c r="G23">
        <v>0</v>
      </c>
    </row>
    <row r="24" spans="1:7" x14ac:dyDescent="0.2">
      <c r="A24">
        <v>23</v>
      </c>
      <c r="B24" t="s">
        <v>25</v>
      </c>
      <c r="C24">
        <v>170</v>
      </c>
      <c r="D24">
        <v>2.7</v>
      </c>
      <c r="E24">
        <v>14.34</v>
      </c>
      <c r="F24">
        <v>80</v>
      </c>
      <c r="G24">
        <v>0</v>
      </c>
    </row>
    <row r="25" spans="1:7" x14ac:dyDescent="0.2">
      <c r="A25">
        <v>24</v>
      </c>
      <c r="B25" t="s">
        <v>26</v>
      </c>
      <c r="C25">
        <v>190</v>
      </c>
      <c r="D25">
        <v>4.4000000000000004</v>
      </c>
      <c r="E25">
        <v>16.079999999999998</v>
      </c>
      <c r="F25">
        <v>70</v>
      </c>
      <c r="G25">
        <v>0</v>
      </c>
    </row>
    <row r="26" spans="1:7" x14ac:dyDescent="0.2">
      <c r="A26">
        <v>25</v>
      </c>
      <c r="B26" t="s">
        <v>25</v>
      </c>
      <c r="C26">
        <v>458</v>
      </c>
      <c r="D26">
        <v>3.3</v>
      </c>
      <c r="E26">
        <v>40.85</v>
      </c>
      <c r="F26">
        <v>40</v>
      </c>
      <c r="G26">
        <v>0</v>
      </c>
    </row>
    <row r="27" spans="1:7" x14ac:dyDescent="0.2">
      <c r="A27">
        <v>26</v>
      </c>
      <c r="B27" t="s">
        <v>26</v>
      </c>
      <c r="C27">
        <v>202</v>
      </c>
      <c r="D27">
        <v>2.8</v>
      </c>
      <c r="E27">
        <v>8.32</v>
      </c>
      <c r="F27">
        <v>80</v>
      </c>
      <c r="G27">
        <v>0</v>
      </c>
    </row>
    <row r="28" spans="1:7" x14ac:dyDescent="0.2">
      <c r="A28">
        <v>27</v>
      </c>
      <c r="B28" t="s">
        <v>25</v>
      </c>
      <c r="C28">
        <v>156</v>
      </c>
      <c r="D28">
        <v>5</v>
      </c>
      <c r="E28">
        <v>35.450000000000003</v>
      </c>
      <c r="F28">
        <v>40</v>
      </c>
      <c r="G28">
        <v>0</v>
      </c>
    </row>
    <row r="29" spans="1:7" x14ac:dyDescent="0.2">
      <c r="A29">
        <v>28</v>
      </c>
      <c r="B29" t="s">
        <v>25</v>
      </c>
      <c r="C29">
        <v>390</v>
      </c>
      <c r="D29">
        <v>2.8</v>
      </c>
      <c r="E29">
        <v>24.27</v>
      </c>
      <c r="F29">
        <v>80</v>
      </c>
      <c r="G29">
        <v>0</v>
      </c>
    </row>
    <row r="30" spans="1:7" x14ac:dyDescent="0.2">
      <c r="A30">
        <v>29</v>
      </c>
      <c r="B30" t="s">
        <v>25</v>
      </c>
      <c r="C30">
        <v>216</v>
      </c>
      <c r="D30">
        <v>2.7</v>
      </c>
      <c r="E30">
        <v>6.27</v>
      </c>
      <c r="F30">
        <v>100</v>
      </c>
      <c r="G30">
        <v>0</v>
      </c>
    </row>
    <row r="31" spans="1:7" x14ac:dyDescent="0.2">
      <c r="A31">
        <v>30</v>
      </c>
      <c r="B31" t="s">
        <v>26</v>
      </c>
      <c r="C31">
        <v>177</v>
      </c>
      <c r="D31">
        <v>3.8</v>
      </c>
      <c r="E31">
        <v>33.630000000000003</v>
      </c>
      <c r="F31">
        <v>60</v>
      </c>
      <c r="G31">
        <v>0</v>
      </c>
    </row>
    <row r="32" spans="1:7" x14ac:dyDescent="0.2">
      <c r="A32">
        <v>31</v>
      </c>
      <c r="B32" t="s">
        <v>26</v>
      </c>
      <c r="C32">
        <v>337</v>
      </c>
      <c r="D32">
        <v>4.8</v>
      </c>
      <c r="E32">
        <v>26.52</v>
      </c>
      <c r="F32">
        <v>80</v>
      </c>
      <c r="G32">
        <v>0</v>
      </c>
    </row>
    <row r="33" spans="1:7" x14ac:dyDescent="0.2">
      <c r="A33">
        <v>32</v>
      </c>
      <c r="B33" t="s">
        <v>25</v>
      </c>
      <c r="C33">
        <v>300</v>
      </c>
      <c r="D33">
        <v>2.8</v>
      </c>
      <c r="E33">
        <v>11.2</v>
      </c>
      <c r="F33">
        <v>80</v>
      </c>
      <c r="G33">
        <v>0</v>
      </c>
    </row>
    <row r="34" spans="1:7" x14ac:dyDescent="0.2">
      <c r="A34">
        <v>33</v>
      </c>
      <c r="B34" t="s">
        <v>26</v>
      </c>
      <c r="C34">
        <v>302</v>
      </c>
      <c r="D34">
        <v>3.7</v>
      </c>
      <c r="E34">
        <v>31.93</v>
      </c>
      <c r="F34">
        <v>70</v>
      </c>
      <c r="G34">
        <v>0</v>
      </c>
    </row>
    <row r="35" spans="1:7" x14ac:dyDescent="0.2">
      <c r="A35">
        <v>34</v>
      </c>
      <c r="B35" t="s">
        <v>25</v>
      </c>
      <c r="C35">
        <v>342</v>
      </c>
      <c r="D35">
        <v>2.2999999999999998</v>
      </c>
      <c r="E35">
        <v>16.739999999999998</v>
      </c>
      <c r="F35">
        <v>100</v>
      </c>
      <c r="G35">
        <v>0</v>
      </c>
    </row>
    <row r="36" spans="1:7" x14ac:dyDescent="0.2">
      <c r="A36">
        <v>35</v>
      </c>
      <c r="B36" t="s">
        <v>25</v>
      </c>
      <c r="C36">
        <v>387</v>
      </c>
      <c r="D36">
        <v>3.2</v>
      </c>
      <c r="E36">
        <v>61.92</v>
      </c>
      <c r="F36">
        <v>80</v>
      </c>
      <c r="G36">
        <v>0</v>
      </c>
    </row>
    <row r="37" spans="1:7" x14ac:dyDescent="0.2">
      <c r="A37">
        <v>36</v>
      </c>
      <c r="B37" t="s">
        <v>19</v>
      </c>
      <c r="C37">
        <v>91</v>
      </c>
      <c r="D37">
        <v>1.9</v>
      </c>
      <c r="E37">
        <v>10.81</v>
      </c>
      <c r="F37">
        <v>60</v>
      </c>
      <c r="G37">
        <v>0</v>
      </c>
    </row>
    <row r="38" spans="1:7" x14ac:dyDescent="0.2">
      <c r="A38">
        <v>37</v>
      </c>
      <c r="B38" t="s">
        <v>21</v>
      </c>
      <c r="C38">
        <v>91</v>
      </c>
      <c r="D38">
        <v>2.1</v>
      </c>
      <c r="E38">
        <v>3.35</v>
      </c>
      <c r="F38">
        <v>60</v>
      </c>
      <c r="G38">
        <v>0</v>
      </c>
    </row>
    <row r="39" spans="1:7" x14ac:dyDescent="0.2">
      <c r="A39">
        <v>38</v>
      </c>
      <c r="B39" t="s">
        <v>19</v>
      </c>
      <c r="C39">
        <v>139</v>
      </c>
      <c r="D39">
        <v>1.2</v>
      </c>
      <c r="E39">
        <v>5.56</v>
      </c>
      <c r="F39">
        <v>60</v>
      </c>
      <c r="G39">
        <v>0</v>
      </c>
    </row>
    <row r="40" spans="1:7" x14ac:dyDescent="0.2">
      <c r="A40">
        <v>39</v>
      </c>
      <c r="B40" t="s">
        <v>19</v>
      </c>
      <c r="C40">
        <v>133</v>
      </c>
      <c r="D40">
        <v>1.6</v>
      </c>
      <c r="E40">
        <v>6.65</v>
      </c>
      <c r="F40">
        <v>60</v>
      </c>
      <c r="G40">
        <v>0</v>
      </c>
    </row>
    <row r="41" spans="1:7" x14ac:dyDescent="0.2">
      <c r="A41">
        <v>40</v>
      </c>
      <c r="B41" t="s">
        <v>19</v>
      </c>
      <c r="C41">
        <v>132</v>
      </c>
      <c r="D41">
        <v>0.7</v>
      </c>
      <c r="E41">
        <v>3.55</v>
      </c>
      <c r="F41">
        <v>60</v>
      </c>
      <c r="G41">
        <v>0</v>
      </c>
    </row>
    <row r="42" spans="1:7" x14ac:dyDescent="0.2">
      <c r="A42">
        <v>41</v>
      </c>
      <c r="B42" t="s">
        <v>19</v>
      </c>
      <c r="C42">
        <v>100</v>
      </c>
      <c r="D42">
        <v>2.2999999999999998</v>
      </c>
      <c r="E42">
        <v>7.42</v>
      </c>
      <c r="F42">
        <v>60</v>
      </c>
      <c r="G42">
        <v>0</v>
      </c>
    </row>
    <row r="43" spans="1:7" x14ac:dyDescent="0.2">
      <c r="A43">
        <v>85</v>
      </c>
      <c r="B43" t="s">
        <v>19</v>
      </c>
      <c r="C43">
        <v>80</v>
      </c>
      <c r="D43">
        <v>0.8</v>
      </c>
      <c r="E43">
        <v>4.57</v>
      </c>
      <c r="F43">
        <v>60</v>
      </c>
      <c r="G43">
        <v>0</v>
      </c>
    </row>
    <row r="44" spans="1:7" x14ac:dyDescent="0.2">
      <c r="A44">
        <v>86</v>
      </c>
      <c r="B44" t="s">
        <v>21</v>
      </c>
      <c r="C44">
        <v>181</v>
      </c>
      <c r="D44">
        <v>1.1000000000000001</v>
      </c>
      <c r="E44">
        <v>11.06</v>
      </c>
      <c r="F44">
        <v>60</v>
      </c>
      <c r="G44">
        <v>0</v>
      </c>
    </row>
    <row r="45" spans="1:7" x14ac:dyDescent="0.2">
      <c r="A45">
        <v>87</v>
      </c>
      <c r="B45" t="s">
        <v>19</v>
      </c>
      <c r="C45">
        <v>131</v>
      </c>
      <c r="D45">
        <v>2.2999999999999998</v>
      </c>
      <c r="E45">
        <v>4.5</v>
      </c>
      <c r="F45">
        <v>70</v>
      </c>
      <c r="G45">
        <v>0</v>
      </c>
    </row>
    <row r="46" spans="1:7" x14ac:dyDescent="0.2">
      <c r="A46">
        <v>88</v>
      </c>
      <c r="B46" t="s">
        <v>21</v>
      </c>
      <c r="C46">
        <v>146</v>
      </c>
      <c r="D46">
        <v>2.2000000000000002</v>
      </c>
      <c r="E46">
        <v>26.77</v>
      </c>
      <c r="F46">
        <v>60</v>
      </c>
      <c r="G46">
        <v>0</v>
      </c>
    </row>
    <row r="47" spans="1:7" x14ac:dyDescent="0.2">
      <c r="A47">
        <v>89</v>
      </c>
      <c r="B47" t="s">
        <v>26</v>
      </c>
      <c r="C47">
        <v>220</v>
      </c>
      <c r="D47">
        <v>3.4</v>
      </c>
      <c r="E47">
        <v>68</v>
      </c>
      <c r="F47">
        <v>110</v>
      </c>
      <c r="G47">
        <v>0</v>
      </c>
    </row>
    <row r="48" spans="1:7" x14ac:dyDescent="0.2">
      <c r="A48">
        <v>47</v>
      </c>
      <c r="B48" t="s">
        <v>21</v>
      </c>
      <c r="C48">
        <v>121</v>
      </c>
      <c r="D48">
        <v>2.4</v>
      </c>
      <c r="E48">
        <v>12.1</v>
      </c>
      <c r="F48">
        <v>40</v>
      </c>
      <c r="G48">
        <v>0</v>
      </c>
    </row>
    <row r="49" spans="1:7" x14ac:dyDescent="0.2">
      <c r="A49">
        <v>48</v>
      </c>
      <c r="B49" t="s">
        <v>19</v>
      </c>
      <c r="C49">
        <v>155</v>
      </c>
      <c r="D49">
        <v>2.9</v>
      </c>
      <c r="E49">
        <v>6.16</v>
      </c>
      <c r="F49">
        <v>80</v>
      </c>
      <c r="G49">
        <v>0</v>
      </c>
    </row>
    <row r="50" spans="1:7" x14ac:dyDescent="0.2">
      <c r="A50">
        <v>49</v>
      </c>
      <c r="B50" t="s">
        <v>21</v>
      </c>
      <c r="C50">
        <v>143</v>
      </c>
      <c r="D50">
        <v>1.5</v>
      </c>
      <c r="E50">
        <v>9.75</v>
      </c>
      <c r="F50">
        <v>60</v>
      </c>
      <c r="G50">
        <v>0</v>
      </c>
    </row>
    <row r="51" spans="1:7" x14ac:dyDescent="0.2">
      <c r="A51">
        <v>50</v>
      </c>
      <c r="B51" t="s">
        <v>19</v>
      </c>
      <c r="C51">
        <v>104</v>
      </c>
      <c r="D51">
        <v>3</v>
      </c>
      <c r="E51">
        <v>10.4</v>
      </c>
      <c r="F51">
        <v>60</v>
      </c>
      <c r="G5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造数据</vt:lpstr>
      <vt:lpstr>数据源-训练集</vt:lpstr>
      <vt:lpstr>数据源-测试集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MuYan-JWT</cp:lastModifiedBy>
  <dcterms:created xsi:type="dcterms:W3CDTF">2015-06-05T18:19:34Z</dcterms:created>
  <dcterms:modified xsi:type="dcterms:W3CDTF">2021-11-09T01:42:51Z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57d4aa5f-8b6b-4341-b00b-599708c34bd0</vt:lpwstr>
  </property>
</Properties>
</file>