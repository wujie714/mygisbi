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6"/>
  </bookViews>
  <sheets>
    <sheet name="造数据过程" sheetId="5" r:id="rId1"/>
    <sheet name="待匹配数据" sheetId="6" r:id="rId2"/>
    <sheet name="发票" sheetId="1" r:id="rId3"/>
    <sheet name="装箱单" sheetId="2" r:id="rId4"/>
    <sheet name="提运单" sheetId="3" r:id="rId5"/>
    <sheet name="报关复核表" sheetId="4" r:id="rId6"/>
    <sheet name="Sheet1" sheetId="7" r:id="rId7"/>
  </sheets>
  <definedNames>
    <definedName name="_xlnm._FilterDatabase" localSheetId="2" hidden="1">发票!$A$1:$L$127</definedName>
    <definedName name="_xlnm._FilterDatabase" localSheetId="5" hidden="1">报关复核表!$A$1:$P$127</definedName>
  </definedNames>
  <calcPr calcId="144525"/>
</workbook>
</file>

<file path=xl/sharedStrings.xml><?xml version="1.0" encoding="utf-8"?>
<sst xmlns="http://schemas.openxmlformats.org/spreadsheetml/2006/main" count="5201" uniqueCount="696">
  <si>
    <t>日期</t>
  </si>
  <si>
    <t>发票号</t>
  </si>
  <si>
    <t>唛头</t>
  </si>
  <si>
    <t>发货人</t>
  </si>
  <si>
    <t>收货人</t>
  </si>
  <si>
    <t>物品来源地</t>
  </si>
  <si>
    <t>出口国</t>
  </si>
  <si>
    <t>物品目的地</t>
  </si>
  <si>
    <t>货物描述</t>
  </si>
  <si>
    <t>数量</t>
  </si>
  <si>
    <t>单价</t>
  </si>
  <si>
    <t>总价</t>
  </si>
  <si>
    <t>外包装件数</t>
  </si>
  <si>
    <t>毛重</t>
  </si>
  <si>
    <t>净重</t>
  </si>
  <si>
    <t>体积（crm）</t>
  </si>
  <si>
    <t>承运人名称</t>
  </si>
  <si>
    <t>运输方式</t>
  </si>
  <si>
    <t>运输工具名称</t>
  </si>
  <si>
    <t>装货港</t>
  </si>
  <si>
    <t>唛头1</t>
  </si>
  <si>
    <t>发货公司1</t>
  </si>
  <si>
    <t>收货公司1</t>
  </si>
  <si>
    <t>中国</t>
  </si>
  <si>
    <t>货代公司A</t>
  </si>
  <si>
    <t>A</t>
  </si>
  <si>
    <t>CNY</t>
  </si>
  <si>
    <t>菲律宾</t>
  </si>
  <si>
    <t>船运</t>
  </si>
  <si>
    <t>河北省</t>
  </si>
  <si>
    <t>天津</t>
  </si>
  <si>
    <t>青岛</t>
  </si>
  <si>
    <t>B</t>
  </si>
  <si>
    <t>USD</t>
  </si>
  <si>
    <t>美国</t>
  </si>
  <si>
    <t>越南</t>
  </si>
  <si>
    <t>空运</t>
  </si>
  <si>
    <t>山西省</t>
  </si>
  <si>
    <t>C</t>
  </si>
  <si>
    <t>GBP</t>
  </si>
  <si>
    <t>英国</t>
  </si>
  <si>
    <t>老挝</t>
  </si>
  <si>
    <t>陆运</t>
  </si>
  <si>
    <t>辽宁省</t>
  </si>
  <si>
    <t>D</t>
  </si>
  <si>
    <t>JPY</t>
  </si>
  <si>
    <t>日本</t>
  </si>
  <si>
    <t>柬埔寨</t>
  </si>
  <si>
    <t>吉林省</t>
  </si>
  <si>
    <t>E</t>
  </si>
  <si>
    <t>缅甸</t>
  </si>
  <si>
    <t>黑龙江省</t>
  </si>
  <si>
    <t>F</t>
  </si>
  <si>
    <t>泰国</t>
  </si>
  <si>
    <t>江苏省</t>
  </si>
  <si>
    <t>上海</t>
  </si>
  <si>
    <t>宁波</t>
  </si>
  <si>
    <t>G</t>
  </si>
  <si>
    <t>马来西亚</t>
  </si>
  <si>
    <t>浙江省</t>
  </si>
  <si>
    <t>H</t>
  </si>
  <si>
    <t>文莱</t>
  </si>
  <si>
    <t>安徽省</t>
  </si>
  <si>
    <t>I</t>
  </si>
  <si>
    <t>新加坡</t>
  </si>
  <si>
    <t>福建省</t>
  </si>
  <si>
    <t>厦门</t>
  </si>
  <si>
    <t>佛山</t>
  </si>
  <si>
    <t>J</t>
  </si>
  <si>
    <t>印度尼西亚</t>
  </si>
  <si>
    <t>江西省</t>
  </si>
  <si>
    <t>K</t>
  </si>
  <si>
    <t>哈萨克斯坦</t>
  </si>
  <si>
    <t>山东省</t>
  </si>
  <si>
    <t>M</t>
  </si>
  <si>
    <t>吉尔吉斯斯坦</t>
  </si>
  <si>
    <t>河南省</t>
  </si>
  <si>
    <t>L</t>
  </si>
  <si>
    <t>塔吉克斯坦</t>
  </si>
  <si>
    <t>湖北省</t>
  </si>
  <si>
    <t>乌兹别克斯坦</t>
  </si>
  <si>
    <t>湖南省</t>
  </si>
  <si>
    <t>土库曼斯坦</t>
  </si>
  <si>
    <t>广东省</t>
  </si>
  <si>
    <t>东莞</t>
  </si>
  <si>
    <t>广州</t>
  </si>
  <si>
    <t>N</t>
  </si>
  <si>
    <t>波兰</t>
  </si>
  <si>
    <t>四川省</t>
  </si>
  <si>
    <t>O</t>
  </si>
  <si>
    <t>捷克</t>
  </si>
  <si>
    <t>贵州省</t>
  </si>
  <si>
    <t>P</t>
  </si>
  <si>
    <t>斯洛伐克</t>
  </si>
  <si>
    <t>云南省</t>
  </si>
  <si>
    <t>Q</t>
  </si>
  <si>
    <t>匈牙利</t>
  </si>
  <si>
    <t>R</t>
  </si>
  <si>
    <t>加拿大</t>
  </si>
  <si>
    <t>S</t>
  </si>
  <si>
    <t>T</t>
  </si>
  <si>
    <t>墨西哥</t>
  </si>
  <si>
    <t>U</t>
  </si>
  <si>
    <t>洪都拉斯</t>
  </si>
  <si>
    <t>V</t>
  </si>
  <si>
    <t>尼加拉瓜</t>
  </si>
  <si>
    <t>W</t>
  </si>
  <si>
    <t>哥斯达黎加</t>
  </si>
  <si>
    <t>X</t>
  </si>
  <si>
    <t>Y</t>
  </si>
  <si>
    <t>韩国</t>
  </si>
  <si>
    <t>Z</t>
  </si>
  <si>
    <t>货物F</t>
  </si>
  <si>
    <t>陆10001</t>
  </si>
  <si>
    <t>货物H</t>
  </si>
  <si>
    <t>唛头2</t>
  </si>
  <si>
    <t>发货公司2</t>
  </si>
  <si>
    <t>收货公司2</t>
  </si>
  <si>
    <t>货物M</t>
  </si>
  <si>
    <t>空10002</t>
  </si>
  <si>
    <t>唛头3</t>
  </si>
  <si>
    <t>发货公司3</t>
  </si>
  <si>
    <t>收货公司3</t>
  </si>
  <si>
    <t>货物E</t>
  </si>
  <si>
    <t>船10003</t>
  </si>
  <si>
    <t>唛头4</t>
  </si>
  <si>
    <t>发货公司4</t>
  </si>
  <si>
    <t>收货公司4</t>
  </si>
  <si>
    <t>货物Q</t>
  </si>
  <si>
    <t>陆10004</t>
  </si>
  <si>
    <t>唛头5</t>
  </si>
  <si>
    <t>发货公司5</t>
  </si>
  <si>
    <t>收货公司5</t>
  </si>
  <si>
    <t>空10005</t>
  </si>
  <si>
    <t>货物L</t>
  </si>
  <si>
    <t>货物U</t>
  </si>
  <si>
    <t>唛头6</t>
  </si>
  <si>
    <t>发货公司6</t>
  </si>
  <si>
    <t>收货公司6</t>
  </si>
  <si>
    <t>货物N</t>
  </si>
  <si>
    <t>船10006</t>
  </si>
  <si>
    <t>唛头7</t>
  </si>
  <si>
    <t>发货公司7</t>
  </si>
  <si>
    <t>收货公司7</t>
  </si>
  <si>
    <t>船10007</t>
  </si>
  <si>
    <t>唛头8</t>
  </si>
  <si>
    <t>发货公司8</t>
  </si>
  <si>
    <t>收货公司8</t>
  </si>
  <si>
    <t>货物R</t>
  </si>
  <si>
    <t>船10008</t>
  </si>
  <si>
    <t>唛头9</t>
  </si>
  <si>
    <t>发货公司9</t>
  </si>
  <si>
    <t>收货公司9</t>
  </si>
  <si>
    <t>货物I</t>
  </si>
  <si>
    <t>陆10009</t>
  </si>
  <si>
    <t>唛头10</t>
  </si>
  <si>
    <t>发货公司10</t>
  </si>
  <si>
    <t>收货公司10</t>
  </si>
  <si>
    <t>空10010</t>
  </si>
  <si>
    <t>唛头11</t>
  </si>
  <si>
    <t>发货公司11</t>
  </si>
  <si>
    <t>收货公司11</t>
  </si>
  <si>
    <t>货物B</t>
  </si>
  <si>
    <t>船10011</t>
  </si>
  <si>
    <t>唛头12</t>
  </si>
  <si>
    <t>发货公司12</t>
  </si>
  <si>
    <t>收货公司12</t>
  </si>
  <si>
    <t>空10012</t>
  </si>
  <si>
    <t>唛头13</t>
  </si>
  <si>
    <t>发货公司13</t>
  </si>
  <si>
    <t>收货公司13</t>
  </si>
  <si>
    <t>空10013</t>
  </si>
  <si>
    <t>货物G</t>
  </si>
  <si>
    <t>唛头14</t>
  </si>
  <si>
    <t>发货公司14</t>
  </si>
  <si>
    <t>收货公司14</t>
  </si>
  <si>
    <t>陆10014</t>
  </si>
  <si>
    <t>唛头15</t>
  </si>
  <si>
    <t>发货公司15</t>
  </si>
  <si>
    <t>收货公司15</t>
  </si>
  <si>
    <t>货物D</t>
  </si>
  <si>
    <t>船10015</t>
  </si>
  <si>
    <t>唛头16</t>
  </si>
  <si>
    <t>发货公司16</t>
  </si>
  <si>
    <t>收货公司16</t>
  </si>
  <si>
    <t>空10016</t>
  </si>
  <si>
    <t>唛头17</t>
  </si>
  <si>
    <t>发货公司17</t>
  </si>
  <si>
    <t>收货公司17</t>
  </si>
  <si>
    <t>货物K</t>
  </si>
  <si>
    <t>陆10017</t>
  </si>
  <si>
    <t>唛头18</t>
  </si>
  <si>
    <t>发货公司18</t>
  </si>
  <si>
    <t>收货公司18</t>
  </si>
  <si>
    <t>货物A</t>
  </si>
  <si>
    <t>陆10018</t>
  </si>
  <si>
    <t>唛头19</t>
  </si>
  <si>
    <t>发货公司19</t>
  </si>
  <si>
    <t>收货公司19</t>
  </si>
  <si>
    <t>货物C</t>
  </si>
  <si>
    <t>空10019</t>
  </si>
  <si>
    <t>唛头20</t>
  </si>
  <si>
    <t>发货公司20</t>
  </si>
  <si>
    <t>收货公司20</t>
  </si>
  <si>
    <t>货物Y</t>
  </si>
  <si>
    <t>陆10020</t>
  </si>
  <si>
    <t>唛头21</t>
  </si>
  <si>
    <t>发货公司21</t>
  </si>
  <si>
    <t>收货公司21</t>
  </si>
  <si>
    <t>陆10021</t>
  </si>
  <si>
    <t>唛头22</t>
  </si>
  <si>
    <t>发货公司22</t>
  </si>
  <si>
    <t>收货公司22</t>
  </si>
  <si>
    <t>货物V</t>
  </si>
  <si>
    <t>空10022</t>
  </si>
  <si>
    <t>唛头23</t>
  </si>
  <si>
    <t>发货公司23</t>
  </si>
  <si>
    <t>收货公司23</t>
  </si>
  <si>
    <t>货物O</t>
  </si>
  <si>
    <t>空10023</t>
  </si>
  <si>
    <t>唛头24</t>
  </si>
  <si>
    <t>发货公司24</t>
  </si>
  <si>
    <t>收货公司24</t>
  </si>
  <si>
    <t>船10024</t>
  </si>
  <si>
    <t>唛头25</t>
  </si>
  <si>
    <t>发货公司25</t>
  </si>
  <si>
    <t>收货公司25</t>
  </si>
  <si>
    <t>货物P</t>
  </si>
  <si>
    <t>空10025</t>
  </si>
  <si>
    <t>唛头26</t>
  </si>
  <si>
    <t>发货公司26</t>
  </si>
  <si>
    <t>收货公司26</t>
  </si>
  <si>
    <t>货物X</t>
  </si>
  <si>
    <t>船10026</t>
  </si>
  <si>
    <t>货物T</t>
  </si>
  <si>
    <t>唛头27</t>
  </si>
  <si>
    <t>发货公司27</t>
  </si>
  <si>
    <t>收货公司27</t>
  </si>
  <si>
    <t>空10027</t>
  </si>
  <si>
    <t>唛头28</t>
  </si>
  <si>
    <t>发货公司28</t>
  </si>
  <si>
    <t>收货公司28</t>
  </si>
  <si>
    <t>空10028</t>
  </si>
  <si>
    <t>唛头29</t>
  </si>
  <si>
    <t>发货公司29</t>
  </si>
  <si>
    <t>收货公司29</t>
  </si>
  <si>
    <t>船10029</t>
  </si>
  <si>
    <t>唛头30</t>
  </si>
  <si>
    <t>发货公司30</t>
  </si>
  <si>
    <t>收货公司30</t>
  </si>
  <si>
    <t>空10030</t>
  </si>
  <si>
    <t>唛头31</t>
  </si>
  <si>
    <t>发货公司31</t>
  </si>
  <si>
    <t>收货公司31</t>
  </si>
  <si>
    <t>空10031</t>
  </si>
  <si>
    <t>唛头32</t>
  </si>
  <si>
    <t>发货公司32</t>
  </si>
  <si>
    <t>收货公司32</t>
  </si>
  <si>
    <t>船10032</t>
  </si>
  <si>
    <t>唛头33</t>
  </si>
  <si>
    <t>发货公司33</t>
  </si>
  <si>
    <t>收货公司33</t>
  </si>
  <si>
    <t>陆10033</t>
  </si>
  <si>
    <t>唛头34</t>
  </si>
  <si>
    <t>发货公司34</t>
  </si>
  <si>
    <t>收货公司34</t>
  </si>
  <si>
    <t>陆10034</t>
  </si>
  <si>
    <t>唛头35</t>
  </si>
  <si>
    <t>发货公司35</t>
  </si>
  <si>
    <t>收货公司35</t>
  </si>
  <si>
    <t>陆10035</t>
  </si>
  <si>
    <t>唛头36</t>
  </si>
  <si>
    <t>发货公司36</t>
  </si>
  <si>
    <t>收货公司36</t>
  </si>
  <si>
    <t>货物Z</t>
  </si>
  <si>
    <t>陆10036</t>
  </si>
  <si>
    <t>唛头37</t>
  </si>
  <si>
    <t>发货公司37</t>
  </si>
  <si>
    <t>收货公司37</t>
  </si>
  <si>
    <t>空10037</t>
  </si>
  <si>
    <t>唛头38</t>
  </si>
  <si>
    <t>发货公司38</t>
  </si>
  <si>
    <t>收货公司38</t>
  </si>
  <si>
    <t>船10038</t>
  </si>
  <si>
    <t>唛头39</t>
  </si>
  <si>
    <t>发货公司39</t>
  </si>
  <si>
    <t>收货公司39</t>
  </si>
  <si>
    <t>空10039</t>
  </si>
  <si>
    <t>唛头40</t>
  </si>
  <si>
    <t>发货公司40</t>
  </si>
  <si>
    <t>收货公司40</t>
  </si>
  <si>
    <t>空10040</t>
  </si>
  <si>
    <t>唛头41</t>
  </si>
  <si>
    <t>发货公司41</t>
  </si>
  <si>
    <t>收货公司41</t>
  </si>
  <si>
    <t>空10041</t>
  </si>
  <si>
    <t>唛头42</t>
  </si>
  <si>
    <t>发货公司42</t>
  </si>
  <si>
    <t>收货公司42</t>
  </si>
  <si>
    <t>空10042</t>
  </si>
  <si>
    <t>唛头43</t>
  </si>
  <si>
    <t>发货公司43</t>
  </si>
  <si>
    <t>收货公司43</t>
  </si>
  <si>
    <t>船10043</t>
  </si>
  <si>
    <t>唛头44</t>
  </si>
  <si>
    <t>发货公司44</t>
  </si>
  <si>
    <t>收货公司44</t>
  </si>
  <si>
    <t>空10044</t>
  </si>
  <si>
    <t>唛头45</t>
  </si>
  <si>
    <t>发货公司45</t>
  </si>
  <si>
    <t>收货公司45</t>
  </si>
  <si>
    <t>陆10045</t>
  </si>
  <si>
    <t>唛头46</t>
  </si>
  <si>
    <t>发货公司46</t>
  </si>
  <si>
    <t>收货公司46</t>
  </si>
  <si>
    <t>货物J</t>
  </si>
  <si>
    <t>船10046</t>
  </si>
  <si>
    <t>唛头47</t>
  </si>
  <si>
    <t>发货公司47</t>
  </si>
  <si>
    <t>收货公司47</t>
  </si>
  <si>
    <t>陆10047</t>
  </si>
  <si>
    <t>唛头48</t>
  </si>
  <si>
    <t>发货公司48</t>
  </si>
  <si>
    <t>收货公司48</t>
  </si>
  <si>
    <t>空10048</t>
  </si>
  <si>
    <t>货物W</t>
  </si>
  <si>
    <t>唛头49</t>
  </si>
  <si>
    <t>发货公司49</t>
  </si>
  <si>
    <t>收货公司49</t>
  </si>
  <si>
    <t>陆10049</t>
  </si>
  <si>
    <t>唛头50</t>
  </si>
  <si>
    <t>发货公司50</t>
  </si>
  <si>
    <t>收货公司50</t>
  </si>
  <si>
    <t>船10050</t>
  </si>
  <si>
    <t>唛头51</t>
  </si>
  <si>
    <t>发货公司51</t>
  </si>
  <si>
    <t>收货公司51</t>
  </si>
  <si>
    <t>船10051</t>
  </si>
  <si>
    <t>唛头52</t>
  </si>
  <si>
    <t>发货公司52</t>
  </si>
  <si>
    <t>收货公司52</t>
  </si>
  <si>
    <t>陆10052</t>
  </si>
  <si>
    <t>唛头53</t>
  </si>
  <si>
    <t>发货公司53</t>
  </si>
  <si>
    <t>收货公司53</t>
  </si>
  <si>
    <t>空10053</t>
  </si>
  <si>
    <t>唛头54</t>
  </si>
  <si>
    <t>发货公司54</t>
  </si>
  <si>
    <t>收货公司54</t>
  </si>
  <si>
    <t>船10054</t>
  </si>
  <si>
    <t>唛头55</t>
  </si>
  <si>
    <t>发货公司55</t>
  </si>
  <si>
    <t>收货公司55</t>
  </si>
  <si>
    <t>空10055</t>
  </si>
  <si>
    <t>唛头56</t>
  </si>
  <si>
    <t>发货公司56</t>
  </si>
  <si>
    <t>收货公司56</t>
  </si>
  <si>
    <t>空10056</t>
  </si>
  <si>
    <t>唛头57</t>
  </si>
  <si>
    <t>发货公司57</t>
  </si>
  <si>
    <t>收货公司57</t>
  </si>
  <si>
    <t>陆10057</t>
  </si>
  <si>
    <t>唛头58</t>
  </si>
  <si>
    <t>发货公司58</t>
  </si>
  <si>
    <t>收货公司58</t>
  </si>
  <si>
    <t>船10058</t>
  </si>
  <si>
    <t>唛头59</t>
  </si>
  <si>
    <t>发货公司59</t>
  </si>
  <si>
    <t>收货公司59</t>
  </si>
  <si>
    <t>空10059</t>
  </si>
  <si>
    <t>唛头60</t>
  </si>
  <si>
    <t>发货公司60</t>
  </si>
  <si>
    <t>收货公司60</t>
  </si>
  <si>
    <t>陆10060</t>
  </si>
  <si>
    <t>唛头61</t>
  </si>
  <si>
    <t>发货公司61</t>
  </si>
  <si>
    <t>收货公司61</t>
  </si>
  <si>
    <t>船10061</t>
  </si>
  <si>
    <t>唛头62</t>
  </si>
  <si>
    <t>发货公司62</t>
  </si>
  <si>
    <t>收货公司62</t>
  </si>
  <si>
    <t>陆10062</t>
  </si>
  <si>
    <t>唛头63</t>
  </si>
  <si>
    <t>发货公司63</t>
  </si>
  <si>
    <t>收货公司63</t>
  </si>
  <si>
    <t>陆10063</t>
  </si>
  <si>
    <t>唛头64</t>
  </si>
  <si>
    <t>发货公司64</t>
  </si>
  <si>
    <t>收货公司64</t>
  </si>
  <si>
    <t>陆10064</t>
  </si>
  <si>
    <t>唛头65</t>
  </si>
  <si>
    <t>发货公司65</t>
  </si>
  <si>
    <t>收货公司65</t>
  </si>
  <si>
    <t>陆10065</t>
  </si>
  <si>
    <t>唛头66</t>
  </si>
  <si>
    <t>发货公司66</t>
  </si>
  <si>
    <t>收货公司66</t>
  </si>
  <si>
    <t>陆10066</t>
  </si>
  <si>
    <t>唛头67</t>
  </si>
  <si>
    <t>发货公司67</t>
  </si>
  <si>
    <t>收货公司67</t>
  </si>
  <si>
    <t>船10067</t>
  </si>
  <si>
    <t>唛头68</t>
  </si>
  <si>
    <t>发货公司68</t>
  </si>
  <si>
    <t>收货公司68</t>
  </si>
  <si>
    <t>陆10068</t>
  </si>
  <si>
    <t>唛头69</t>
  </si>
  <si>
    <t>发货公司69</t>
  </si>
  <si>
    <t>收货公司69</t>
  </si>
  <si>
    <t>陆10069</t>
  </si>
  <si>
    <t>唛头70</t>
  </si>
  <si>
    <t>发货公司70</t>
  </si>
  <si>
    <t>收货公司70</t>
  </si>
  <si>
    <t>空10070</t>
  </si>
  <si>
    <t>唛头71</t>
  </si>
  <si>
    <t>发货公司71</t>
  </si>
  <si>
    <t>收货公司71</t>
  </si>
  <si>
    <t>陆10071</t>
  </si>
  <si>
    <t>唛头72</t>
  </si>
  <si>
    <t>发货公司72</t>
  </si>
  <si>
    <t>收货公司72</t>
  </si>
  <si>
    <t>空10072</t>
  </si>
  <si>
    <t>唛头73</t>
  </si>
  <si>
    <t>发货公司73</t>
  </si>
  <si>
    <t>收货公司73</t>
  </si>
  <si>
    <t>船10073</t>
  </si>
  <si>
    <t>唛头74</t>
  </si>
  <si>
    <t>发货公司74</t>
  </si>
  <si>
    <t>收货公司74</t>
  </si>
  <si>
    <t>陆10074</t>
  </si>
  <si>
    <t>唛头75</t>
  </si>
  <si>
    <t>发货公司75</t>
  </si>
  <si>
    <t>收货公司75</t>
  </si>
  <si>
    <t>船10075</t>
  </si>
  <si>
    <t>唛头76</t>
  </si>
  <si>
    <t>发货公司76</t>
  </si>
  <si>
    <t>收货公司76</t>
  </si>
  <si>
    <t>船10076</t>
  </si>
  <si>
    <t>唛头77</t>
  </si>
  <si>
    <t>发货公司77</t>
  </si>
  <si>
    <t>收货公司77</t>
  </si>
  <si>
    <t>空10077</t>
  </si>
  <si>
    <t>唛头78</t>
  </si>
  <si>
    <t>发货公司78</t>
  </si>
  <si>
    <t>收货公司78</t>
  </si>
  <si>
    <t>船10078</t>
  </si>
  <si>
    <t>唛头79</t>
  </si>
  <si>
    <t>发货公司79</t>
  </si>
  <si>
    <t>收货公司79</t>
  </si>
  <si>
    <t>陆10079</t>
  </si>
  <si>
    <t>唛头80</t>
  </si>
  <si>
    <t>发货公司80</t>
  </si>
  <si>
    <t>收货公司80</t>
  </si>
  <si>
    <t>船10080</t>
  </si>
  <si>
    <t>唛头81</t>
  </si>
  <si>
    <t>发货公司81</t>
  </si>
  <si>
    <t>收货公司81</t>
  </si>
  <si>
    <t>陆10081</t>
  </si>
  <si>
    <t>唛头82</t>
  </si>
  <si>
    <t>发货公司82</t>
  </si>
  <si>
    <t>收货公司82</t>
  </si>
  <si>
    <t>陆10082</t>
  </si>
  <si>
    <t>唛头83</t>
  </si>
  <si>
    <t>发货公司83</t>
  </si>
  <si>
    <t>收货公司83</t>
  </si>
  <si>
    <t>船10083</t>
  </si>
  <si>
    <t>唛头84</t>
  </si>
  <si>
    <t>发货公司84</t>
  </si>
  <si>
    <t>收货公司84</t>
  </si>
  <si>
    <t>陆10084</t>
  </si>
  <si>
    <t>唛头85</t>
  </si>
  <si>
    <t>发货公司85</t>
  </si>
  <si>
    <t>收货公司85</t>
  </si>
  <si>
    <t>陆10085</t>
  </si>
  <si>
    <t>唛头86</t>
  </si>
  <si>
    <t>发货公司86</t>
  </si>
  <si>
    <t>收货公司86</t>
  </si>
  <si>
    <t>空10086</t>
  </si>
  <si>
    <t>唛头87</t>
  </si>
  <si>
    <t>发货公司87</t>
  </si>
  <si>
    <t>收货公司87</t>
  </si>
  <si>
    <t>船10087</t>
  </si>
  <si>
    <t>唛头88</t>
  </si>
  <si>
    <t>发货公司88</t>
  </si>
  <si>
    <t>收货公司88</t>
  </si>
  <si>
    <t>空10088</t>
  </si>
  <si>
    <t>唛头89</t>
  </si>
  <si>
    <t>发货公司89</t>
  </si>
  <si>
    <t>收货公司89</t>
  </si>
  <si>
    <t>空10089</t>
  </si>
  <si>
    <t>唛头90</t>
  </si>
  <si>
    <t>发货公司90</t>
  </si>
  <si>
    <t>收货公司90</t>
  </si>
  <si>
    <t>陆10090</t>
  </si>
  <si>
    <t>唛头91</t>
  </si>
  <si>
    <t>发货公司91</t>
  </si>
  <si>
    <t>收货公司91</t>
  </si>
  <si>
    <t>货物S</t>
  </si>
  <si>
    <t>船10091</t>
  </si>
  <si>
    <t>唛头92</t>
  </si>
  <si>
    <t>发货公司92</t>
  </si>
  <si>
    <t>收货公司92</t>
  </si>
  <si>
    <t>陆10092</t>
  </si>
  <si>
    <t>唛头93</t>
  </si>
  <si>
    <t>发货公司93</t>
  </si>
  <si>
    <t>收货公司93</t>
  </si>
  <si>
    <t>船10093</t>
  </si>
  <si>
    <t>唛头94</t>
  </si>
  <si>
    <t>发货公司94</t>
  </si>
  <si>
    <t>收货公司94</t>
  </si>
  <si>
    <t>船10094</t>
  </si>
  <si>
    <t>唛头95</t>
  </si>
  <si>
    <t>发货公司95</t>
  </si>
  <si>
    <t>收货公司95</t>
  </si>
  <si>
    <t>空10095</t>
  </si>
  <si>
    <t>唛头96</t>
  </si>
  <si>
    <t>发货公司96</t>
  </si>
  <si>
    <t>收货公司96</t>
  </si>
  <si>
    <t>船10096</t>
  </si>
  <si>
    <t>唛头97</t>
  </si>
  <si>
    <t>发货公司97</t>
  </si>
  <si>
    <t>收货公司97</t>
  </si>
  <si>
    <t>空10097</t>
  </si>
  <si>
    <t>唛头98</t>
  </si>
  <si>
    <t>发货公司98</t>
  </si>
  <si>
    <t>收货公司98</t>
  </si>
  <si>
    <t>空10098</t>
  </si>
  <si>
    <t>唛头99</t>
  </si>
  <si>
    <t>发货公司99</t>
  </si>
  <si>
    <t>收货公司99</t>
  </si>
  <si>
    <t>船10099</t>
  </si>
  <si>
    <t>唛头100</t>
  </si>
  <si>
    <t>发货公司100</t>
  </si>
  <si>
    <t>收货公司100</t>
  </si>
  <si>
    <t>船10100</t>
  </si>
  <si>
    <t>唛头101</t>
  </si>
  <si>
    <t>发货公司101</t>
  </si>
  <si>
    <t>收货公司101</t>
  </si>
  <si>
    <t>空10101</t>
  </si>
  <si>
    <t>唛头102</t>
  </si>
  <si>
    <t>发货公司102</t>
  </si>
  <si>
    <t>收货公司102</t>
  </si>
  <si>
    <t>船10102</t>
  </si>
  <si>
    <t>唛头103</t>
  </si>
  <si>
    <t>发货公司103</t>
  </si>
  <si>
    <t>收货公司103</t>
  </si>
  <si>
    <t>船10103</t>
  </si>
  <si>
    <t>唛头104</t>
  </si>
  <si>
    <t>发货公司104</t>
  </si>
  <si>
    <t>收货公司104</t>
  </si>
  <si>
    <t>陆10104</t>
  </si>
  <si>
    <t>唛头105</t>
  </si>
  <si>
    <t>发货公司105</t>
  </si>
  <si>
    <t>收货公司105</t>
  </si>
  <si>
    <t>船10105</t>
  </si>
  <si>
    <t>唛头106</t>
  </si>
  <si>
    <t>发货公司106</t>
  </si>
  <si>
    <t>收货公司106</t>
  </si>
  <si>
    <t>空10106</t>
  </si>
  <si>
    <t>唛头107</t>
  </si>
  <si>
    <t>发货公司107</t>
  </si>
  <si>
    <t>收货公司107</t>
  </si>
  <si>
    <t>船10107</t>
  </si>
  <si>
    <t>运抵国</t>
  </si>
  <si>
    <t>装箱日期</t>
  </si>
  <si>
    <t>发票日期</t>
  </si>
  <si>
    <t>装箱单号</t>
  </si>
  <si>
    <t>出单方</t>
  </si>
  <si>
    <t>受单方</t>
  </si>
  <si>
    <t>毛重(KGS)</t>
  </si>
  <si>
    <t>净重(KGS)</t>
  </si>
  <si>
    <t>体积(CBM)</t>
  </si>
  <si>
    <t>装1001</t>
  </si>
  <si>
    <t>签发日期</t>
  </si>
  <si>
    <t>提运单号</t>
  </si>
  <si>
    <t>商品名称</t>
  </si>
  <si>
    <t>托运人名称</t>
  </si>
  <si>
    <t>收货人名称</t>
  </si>
  <si>
    <t>提101</t>
  </si>
  <si>
    <t>口岸</t>
  </si>
  <si>
    <t>申报日期</t>
  </si>
  <si>
    <t>经营单位</t>
  </si>
  <si>
    <t>包装种类</t>
  </si>
  <si>
    <t>提102</t>
  </si>
  <si>
    <t>提103</t>
  </si>
  <si>
    <t>提104</t>
  </si>
  <si>
    <t>提105</t>
  </si>
  <si>
    <t>提106</t>
  </si>
  <si>
    <t>提107</t>
  </si>
  <si>
    <t>提108</t>
  </si>
  <si>
    <t>提109</t>
  </si>
  <si>
    <t>提111</t>
  </si>
  <si>
    <t>提112</t>
  </si>
  <si>
    <t>提113</t>
  </si>
  <si>
    <t>提114</t>
  </si>
  <si>
    <t>提115</t>
  </si>
  <si>
    <t>提116</t>
  </si>
  <si>
    <t>提117</t>
  </si>
  <si>
    <t>提118</t>
  </si>
  <si>
    <t>提119</t>
  </si>
  <si>
    <t>提120</t>
  </si>
  <si>
    <t>提121</t>
  </si>
  <si>
    <t>提122</t>
  </si>
  <si>
    <t>提123</t>
  </si>
  <si>
    <t>提124</t>
  </si>
  <si>
    <t>空10026</t>
  </si>
  <si>
    <t>提125</t>
  </si>
  <si>
    <t>提126</t>
  </si>
  <si>
    <t>提127</t>
  </si>
  <si>
    <t>提128</t>
  </si>
  <si>
    <t>提129</t>
  </si>
  <si>
    <t>提130</t>
  </si>
  <si>
    <t>提131</t>
  </si>
  <si>
    <t>提132</t>
  </si>
  <si>
    <t>提133</t>
  </si>
  <si>
    <t>提134</t>
  </si>
  <si>
    <t>提135</t>
  </si>
  <si>
    <t>提136</t>
  </si>
  <si>
    <t>提137</t>
  </si>
  <si>
    <t>提138</t>
  </si>
  <si>
    <t>提139</t>
  </si>
  <si>
    <t>提140</t>
  </si>
  <si>
    <t>提141</t>
  </si>
  <si>
    <t>提142</t>
  </si>
  <si>
    <t>提143</t>
  </si>
  <si>
    <t>提144</t>
  </si>
  <si>
    <t>提145</t>
  </si>
  <si>
    <t>提146</t>
  </si>
  <si>
    <t>提147</t>
  </si>
  <si>
    <t>提148</t>
  </si>
  <si>
    <t>提149</t>
  </si>
  <si>
    <t>提150</t>
  </si>
  <si>
    <t>提151</t>
  </si>
  <si>
    <t>提152</t>
  </si>
  <si>
    <t>提153</t>
  </si>
  <si>
    <t>提154</t>
  </si>
  <si>
    <t>提155</t>
  </si>
  <si>
    <t>提156</t>
  </si>
  <si>
    <t>提157</t>
  </si>
  <si>
    <t>提158</t>
  </si>
  <si>
    <t>提159</t>
  </si>
  <si>
    <t>提160</t>
  </si>
  <si>
    <t>提161</t>
  </si>
  <si>
    <t>提162</t>
  </si>
  <si>
    <t>提163</t>
  </si>
  <si>
    <t>提164</t>
  </si>
  <si>
    <t>提165</t>
  </si>
  <si>
    <t>提166</t>
  </si>
  <si>
    <t>提167</t>
  </si>
  <si>
    <t>提168</t>
  </si>
  <si>
    <t>提169</t>
  </si>
  <si>
    <t>提170</t>
  </si>
  <si>
    <t>提171</t>
  </si>
  <si>
    <t>提172</t>
  </si>
  <si>
    <t>提173</t>
  </si>
  <si>
    <t>提174</t>
  </si>
  <si>
    <t>提175</t>
  </si>
  <si>
    <t>提176</t>
  </si>
  <si>
    <t>提177</t>
  </si>
  <si>
    <t>提178</t>
  </si>
  <si>
    <t>提179</t>
  </si>
  <si>
    <t>提180</t>
  </si>
  <si>
    <t>提181</t>
  </si>
  <si>
    <t>空10087</t>
  </si>
  <si>
    <t>提182</t>
  </si>
  <si>
    <t>提183</t>
  </si>
  <si>
    <t>提184</t>
  </si>
  <si>
    <t>提185</t>
  </si>
  <si>
    <t>提186</t>
  </si>
  <si>
    <t>提187</t>
  </si>
  <si>
    <t>提188</t>
  </si>
  <si>
    <t>提189</t>
  </si>
  <si>
    <t>提190</t>
  </si>
  <si>
    <t>提191</t>
  </si>
  <si>
    <t>提192</t>
  </si>
  <si>
    <t>提193</t>
  </si>
  <si>
    <t>提194</t>
  </si>
  <si>
    <t>提195</t>
  </si>
  <si>
    <t>提196</t>
  </si>
  <si>
    <t>提197</t>
  </si>
  <si>
    <t>提198</t>
  </si>
  <si>
    <t>提199</t>
  </si>
  <si>
    <t>提200</t>
  </si>
  <si>
    <t>提201</t>
  </si>
  <si>
    <t>提202</t>
  </si>
  <si>
    <t>报关复核表</t>
  </si>
  <si>
    <t>发票</t>
  </si>
  <si>
    <t>装箱单</t>
  </si>
  <si>
    <t>提运单</t>
  </si>
  <si>
    <t>进行匹配报关复核表和提运单表，识别“唛头”、“数量”、“毛重(KGS)”、“净重(KGS)”、“运输方式”、“运输工具名称”</t>
  </si>
  <si>
    <t>进行匹配报关复核表和发票表，识别“运抵国”、“货物描述”、“单价”、“总价”（由于发票、装箱单、提运单三表皆是由货品订单产生，其相同字段数据相同，可非重复匹配）</t>
  </si>
  <si>
    <t>进行匹配报关复核表和装箱单表，识别“外包装件数”</t>
  </si>
  <si>
    <t>KGS</t>
  </si>
  <si>
    <t>公斤</t>
  </si>
  <si>
    <t>CBM</t>
  </si>
  <si>
    <t>立方米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</si>
</sst>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color rgb="FF333333"/>
      <name val="Arial"/>
      <charset val="134"/>
    </font>
    <font>
      <sz val="11"/>
      <color rgb="FF136EC2"/>
      <name val="Arial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361950</xdr:colOff>
      <xdr:row>1</xdr:row>
      <xdr:rowOff>95250</xdr:rowOff>
    </xdr:from>
    <xdr:to>
      <xdr:col>20</xdr:col>
      <xdr:colOff>189836</xdr:colOff>
      <xdr:row>41</xdr:row>
      <xdr:rowOff>132440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42910" y="270510"/>
          <a:ext cx="4765040" cy="7047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23</xdr:col>
      <xdr:colOff>132476</xdr:colOff>
      <xdr:row>50</xdr:row>
      <xdr:rowOff>94152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38490" y="350520"/>
          <a:ext cx="6304280" cy="8506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704850</xdr:colOff>
      <xdr:row>3</xdr:row>
      <xdr:rowOff>38100</xdr:rowOff>
    </xdr:from>
    <xdr:to>
      <xdr:col>25</xdr:col>
      <xdr:colOff>123036</xdr:colOff>
      <xdr:row>43</xdr:row>
      <xdr:rowOff>8624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69855" y="563880"/>
          <a:ext cx="5677535" cy="6980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7"/>
  <sheetViews>
    <sheetView workbookViewId="0">
      <selection activeCell="I29" sqref="I29"/>
    </sheetView>
  </sheetViews>
  <sheetFormatPr defaultColWidth="9" defaultRowHeight="13.8"/>
  <cols>
    <col min="1" max="1" width="11.1296296296296" customWidth="1"/>
    <col min="2" max="2" width="7.5" customWidth="1"/>
    <col min="3" max="3" width="10" customWidth="1"/>
    <col min="4" max="5" width="10.25" customWidth="1"/>
    <col min="6" max="6" width="11" customWidth="1"/>
    <col min="7" max="7" width="7.12962962962963" customWidth="1"/>
    <col min="8" max="8" width="13" customWidth="1"/>
    <col min="10" max="11" width="5.5" customWidth="1"/>
    <col min="12" max="12" width="8.5" customWidth="1"/>
    <col min="13" max="13" width="11" customWidth="1"/>
    <col min="14" max="14" width="8.5" customWidth="1"/>
    <col min="15" max="15" width="10.5" customWidth="1"/>
    <col min="16" max="16" width="12.3796296296296" customWidth="1"/>
    <col min="17" max="17" width="11" customWidth="1"/>
    <col min="19" max="19" width="13" customWidth="1"/>
    <col min="20" max="20" width="7.1296296296296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5" spans="1:29">
      <c r="A2" s="6">
        <v>44075</v>
      </c>
      <c r="B2">
        <v>100001</v>
      </c>
      <c r="C2" t="s">
        <v>20</v>
      </c>
      <c r="D2" t="s">
        <v>21</v>
      </c>
      <c r="E2" t="s">
        <v>22</v>
      </c>
      <c r="F2" t="str">
        <f ca="1" t="array" ref="F2">INDIRECT("aa"&amp;RANDBETWEEN(2,19))</f>
        <v>山西省</v>
      </c>
      <c r="G2" t="s">
        <v>23</v>
      </c>
      <c r="H2" t="str">
        <f ca="1" t="array" ref="H2">INDIRECT("x"&amp;RANDBETWEEN(2,28))</f>
        <v>波兰</v>
      </c>
      <c r="I2" t="str">
        <f ca="1" t="array" ref="I2">"货物"&amp;INDIRECT("u"&amp;RANDBETWEEN(2,29))</f>
        <v>货物K</v>
      </c>
      <c r="J2">
        <f ca="1">RANDBETWEEN(100,5000)</f>
        <v>2243</v>
      </c>
      <c r="K2">
        <f ca="1">RANDBETWEEN(50,1000)/10</f>
        <v>70.4</v>
      </c>
      <c r="L2">
        <f ca="1">J2*K2</f>
        <v>157907.2</v>
      </c>
      <c r="M2">
        <f ca="1">ROUND(J2-J2*(RANDBETWEEN(85,95)/100),0)</f>
        <v>179</v>
      </c>
      <c r="N2">
        <f ca="1">J2+J2*(RANDBETWEEN(-10,30)/10)</f>
        <v>1794.4</v>
      </c>
      <c r="O2">
        <f ca="1">N2*(RANDBETWEEN(80,90)/100)</f>
        <v>1489.352</v>
      </c>
      <c r="P2">
        <f ca="1">M2*(RANDBETWEEN(80,200)/100)</f>
        <v>243.44</v>
      </c>
      <c r="Q2" t="s">
        <v>24</v>
      </c>
      <c r="R2" t="str">
        <f ca="1" t="array" ref="R2">INDIRECT("z"&amp;RANDBETWEEN(2,4))</f>
        <v>空运</v>
      </c>
      <c r="S2" t="str">
        <f ca="1">LEFT(R2,1)&amp;10001</f>
        <v>空10001</v>
      </c>
      <c r="T2" t="str">
        <f ca="1">VLOOKUP(F2,$AA$2:$AC$19,RANDBETWEEN(2,3),FALSE)</f>
        <v>青岛</v>
      </c>
      <c r="U2" t="s">
        <v>25</v>
      </c>
      <c r="V2" t="s">
        <v>26</v>
      </c>
      <c r="W2" t="s">
        <v>23</v>
      </c>
      <c r="X2" s="7" t="s">
        <v>27</v>
      </c>
      <c r="Z2" t="s">
        <v>28</v>
      </c>
      <c r="AA2" s="8" t="s">
        <v>29</v>
      </c>
      <c r="AB2" t="s">
        <v>30</v>
      </c>
      <c r="AC2" t="s">
        <v>31</v>
      </c>
    </row>
    <row r="3" spans="1:29">
      <c r="A3" s="6">
        <v>44075</v>
      </c>
      <c r="B3">
        <v>100001</v>
      </c>
      <c r="C3" t="s">
        <v>20</v>
      </c>
      <c r="D3" t="str">
        <f>IF(C3=C2,D2,"唛头"&amp;MID(D2,3,LEN(D2)-2)+1)</f>
        <v>发货公司1</v>
      </c>
      <c r="E3" t="str">
        <f>IF(D3=D2,E2,"唛头"&amp;MID(E2,3,LEN(E2)-2)+1)</f>
        <v>收货公司1</v>
      </c>
      <c r="F3" t="str">
        <f ca="1" t="array" ref="F3">INDIRECT("aa"&amp;RANDBETWEEN(2,19))</f>
        <v>四川省</v>
      </c>
      <c r="G3" t="s">
        <v>23</v>
      </c>
      <c r="H3" t="str">
        <f ca="1" t="array" ref="H3">IF(B3=B2,H2,INDIRECT("x"&amp;RANDBETWEEN(2,28)))</f>
        <v>波兰</v>
      </c>
      <c r="I3" t="str">
        <f ca="1" t="array" ref="I3">"货物"&amp;INDIRECT("u"&amp;RANDBETWEEN(2,29))</f>
        <v>货物M</v>
      </c>
      <c r="J3">
        <f ca="1">RANDBETWEEN(100,5000)</f>
        <v>3944</v>
      </c>
      <c r="K3">
        <f ca="1">RANDBETWEEN(50,1000)/10</f>
        <v>49.1</v>
      </c>
      <c r="L3">
        <f ca="1">J3*K3</f>
        <v>193650.4</v>
      </c>
      <c r="M3">
        <f ca="1">ROUND(J3-J3*(RANDBETWEEN(85,95)/100),0)</f>
        <v>316</v>
      </c>
      <c r="N3">
        <f ca="1">J3+J3*(RANDBETWEEN(-10,30)/10)</f>
        <v>14198.4</v>
      </c>
      <c r="O3">
        <f ca="1">N3*(RANDBETWEEN(80,90)/100)</f>
        <v>11358.72</v>
      </c>
      <c r="P3">
        <f ca="1">M3*(RANDBETWEEN(80,200)/100)</f>
        <v>587.76</v>
      </c>
      <c r="Q3" t="str">
        <f>$Q$2</f>
        <v>货代公司A</v>
      </c>
      <c r="R3" t="str">
        <f ca="1" t="array" ref="R3">IF(B3=B2,R2,INDIRECT("z"&amp;RANDBETWEEN(2,4)))</f>
        <v>空运</v>
      </c>
      <c r="S3" t="str">
        <f ca="1">IF(B3=B2,S2,LEFT(R3,1)&amp;MID(S2,2,LEN(S2)-1)+1)</f>
        <v>空10001</v>
      </c>
      <c r="T3" t="str">
        <f ca="1" t="shared" ref="T3:T38" si="0">VLOOKUP(F3,$AA$2:$AC$19,RANDBETWEEN(2,3),FALSE)</f>
        <v>天津</v>
      </c>
      <c r="U3" t="s">
        <v>32</v>
      </c>
      <c r="V3" t="s">
        <v>33</v>
      </c>
      <c r="W3" t="s">
        <v>34</v>
      </c>
      <c r="X3" t="s">
        <v>35</v>
      </c>
      <c r="Z3" t="s">
        <v>36</v>
      </c>
      <c r="AA3" t="s">
        <v>37</v>
      </c>
      <c r="AB3" t="s">
        <v>30</v>
      </c>
      <c r="AC3" t="s">
        <v>31</v>
      </c>
    </row>
    <row r="4" spans="1:29">
      <c r="A4" s="6">
        <v>44075</v>
      </c>
      <c r="B4">
        <v>100002</v>
      </c>
      <c r="C4" t="str">
        <f>IF(B4=B3,C3,"唛头"&amp;MID(C3,3,LEN(C3)-2)+1)</f>
        <v>唛头2</v>
      </c>
      <c r="D4" t="str">
        <f>IF(B4=B3,D3,"发货公司"&amp;MID(D3,5,LEN(D3)-4)+1)</f>
        <v>发货公司2</v>
      </c>
      <c r="E4" t="str">
        <f>IF(B4=B3,E3,"收货公司"&amp;MID(E3,5,LEN(E3)-4)+1)</f>
        <v>收货公司2</v>
      </c>
      <c r="F4" t="str">
        <f ca="1" t="array" ref="F4">INDIRECT("aa"&amp;RANDBETWEEN(2,19))</f>
        <v>吉林省</v>
      </c>
      <c r="G4" t="s">
        <v>23</v>
      </c>
      <c r="H4" t="str">
        <f ca="1" t="array" ref="H4">IF(B4=B3,H3,INDIRECT("x"&amp;RANDBETWEEN(2,28)))</f>
        <v>尼加拉瓜</v>
      </c>
      <c r="I4" t="str">
        <f ca="1" t="array" ref="I4">"货物"&amp;INDIRECT("u"&amp;RANDBETWEEN(2,29))</f>
        <v>货物F</v>
      </c>
      <c r="J4">
        <f ca="1">RANDBETWEEN(100,5000)</f>
        <v>4150</v>
      </c>
      <c r="K4">
        <f ca="1">RANDBETWEEN(50,1000)/10</f>
        <v>30.3</v>
      </c>
      <c r="L4">
        <f ca="1">J4*K4</f>
        <v>125745</v>
      </c>
      <c r="M4">
        <f ca="1">ROUND(J4-J4*(RANDBETWEEN(85,95)/100),0)</f>
        <v>291</v>
      </c>
      <c r="N4">
        <f ca="1">J4+J4*(RANDBETWEEN(-10,30)/10)</f>
        <v>13280</v>
      </c>
      <c r="O4">
        <f ca="1">N4*(RANDBETWEEN(80,90)/100)</f>
        <v>11420.8</v>
      </c>
      <c r="P4">
        <f ca="1">M4*(RANDBETWEEN(80,200)/100)</f>
        <v>253.17</v>
      </c>
      <c r="Q4" t="str">
        <f t="shared" ref="Q4:Q127" si="1">$Q$2</f>
        <v>货代公司A</v>
      </c>
      <c r="R4" t="str">
        <f ca="1" t="array" ref="R4">IF(B4=B3,R3,INDIRECT("z"&amp;RANDBETWEEN(2,4)))</f>
        <v>船运</v>
      </c>
      <c r="S4" t="str">
        <f ca="1" t="shared" ref="S4:S38" si="2">IF(B4=B3,S3,LEFT(R4,1)&amp;MID(S3,2,LEN(S3)-1)+1)</f>
        <v>船10002</v>
      </c>
      <c r="T4" t="str">
        <f ca="1" t="shared" si="0"/>
        <v>青岛</v>
      </c>
      <c r="U4" t="s">
        <v>38</v>
      </c>
      <c r="V4" t="s">
        <v>39</v>
      </c>
      <c r="W4" t="s">
        <v>40</v>
      </c>
      <c r="X4" t="s">
        <v>41</v>
      </c>
      <c r="Z4" t="s">
        <v>42</v>
      </c>
      <c r="AA4" t="s">
        <v>43</v>
      </c>
      <c r="AB4" t="s">
        <v>31</v>
      </c>
      <c r="AC4" t="s">
        <v>30</v>
      </c>
    </row>
    <row r="5" spans="1:29">
      <c r="A5" s="6">
        <v>44075</v>
      </c>
      <c r="B5">
        <v>100003</v>
      </c>
      <c r="C5" t="str">
        <f t="shared" ref="C5:C38" si="3">IF(B5=B4,C4,"唛头"&amp;MID(C4,3,LEN(C4)-2)+1)</f>
        <v>唛头3</v>
      </c>
      <c r="D5" t="str">
        <f t="shared" ref="D5:D38" si="4">IF(B5=B4,D4,"发货公司"&amp;MID(D4,5,LEN(D4)-4)+1)</f>
        <v>发货公司3</v>
      </c>
      <c r="E5" t="str">
        <f t="shared" ref="E5:E38" si="5">IF(B5=B4,E4,"收货公司"&amp;MID(E4,5,LEN(E4)-4)+1)</f>
        <v>收货公司3</v>
      </c>
      <c r="F5" t="str">
        <f ca="1" t="array" ref="F5">INDIRECT("aa"&amp;RANDBETWEEN(2,19))</f>
        <v>山西省</v>
      </c>
      <c r="G5" t="s">
        <v>23</v>
      </c>
      <c r="H5" t="str">
        <f ca="1" t="array" ref="H5">IF(B5=B4,H4,INDIRECT("x"&amp;RANDBETWEEN(2,28)))</f>
        <v>乌兹别克斯坦</v>
      </c>
      <c r="I5" t="str">
        <f ca="1" t="array" ref="I5">"货物"&amp;INDIRECT("u"&amp;RANDBETWEEN(2,29))</f>
        <v>货物J</v>
      </c>
      <c r="J5">
        <f ca="1" t="shared" ref="J5:J127" si="6">RANDBETWEEN(100,5000)</f>
        <v>3894</v>
      </c>
      <c r="K5">
        <f ca="1" t="shared" ref="K5:K127" si="7">RANDBETWEEN(50,1000)/10</f>
        <v>47.1</v>
      </c>
      <c r="L5">
        <f ca="1" t="shared" ref="L5:L38" si="8">J5*K5</f>
        <v>183407.4</v>
      </c>
      <c r="M5">
        <f ca="1" t="shared" ref="M5:M38" si="9">ROUND(J5-J5*(RANDBETWEEN(85,95)/100),0)</f>
        <v>467</v>
      </c>
      <c r="N5">
        <f ca="1" t="shared" ref="N5:N38" si="10">J5+J5*(RANDBETWEEN(-10,30)/10)</f>
        <v>12071.4</v>
      </c>
      <c r="O5">
        <f ca="1" t="shared" ref="O5:O38" si="11">N5*(RANDBETWEEN(80,90)/100)</f>
        <v>10019.262</v>
      </c>
      <c r="P5">
        <f ca="1" t="shared" ref="P5:P38" si="12">M5*(RANDBETWEEN(80,200)/100)</f>
        <v>551.06</v>
      </c>
      <c r="Q5" t="str">
        <f t="shared" si="1"/>
        <v>货代公司A</v>
      </c>
      <c r="R5" t="str">
        <f ca="1" t="array" ref="R5">IF(B5=B4,R4,INDIRECT("z"&amp;RANDBETWEEN(2,4)))</f>
        <v>陆运</v>
      </c>
      <c r="S5" t="str">
        <f ca="1" t="shared" si="2"/>
        <v>陆10003</v>
      </c>
      <c r="T5" t="str">
        <f ca="1" t="shared" si="0"/>
        <v>天津</v>
      </c>
      <c r="U5" t="s">
        <v>44</v>
      </c>
      <c r="V5" t="s">
        <v>45</v>
      </c>
      <c r="W5" t="s">
        <v>46</v>
      </c>
      <c r="X5" t="s">
        <v>47</v>
      </c>
      <c r="AA5" t="s">
        <v>48</v>
      </c>
      <c r="AB5" t="s">
        <v>31</v>
      </c>
      <c r="AC5" t="s">
        <v>30</v>
      </c>
    </row>
    <row r="6" spans="1:29">
      <c r="A6" s="6">
        <v>44075</v>
      </c>
      <c r="B6">
        <v>100004</v>
      </c>
      <c r="C6" t="str">
        <f t="shared" si="3"/>
        <v>唛头4</v>
      </c>
      <c r="D6" t="str">
        <f t="shared" si="4"/>
        <v>发货公司4</v>
      </c>
      <c r="E6" t="str">
        <f t="shared" si="5"/>
        <v>收货公司4</v>
      </c>
      <c r="F6" t="str">
        <f ca="1" t="array" ref="F6">INDIRECT("aa"&amp;RANDBETWEEN(2,19))</f>
        <v>江苏省</v>
      </c>
      <c r="G6" t="s">
        <v>23</v>
      </c>
      <c r="H6" t="str">
        <f ca="1" t="array" ref="H6">IF(B6=B5,H5,INDIRECT("x"&amp;RANDBETWEEN(2,28)))</f>
        <v>柬埔寨</v>
      </c>
      <c r="I6" t="str">
        <f ca="1" t="array" ref="I6">"货物"&amp;INDIRECT("u"&amp;RANDBETWEEN(2,29))</f>
        <v>货物X</v>
      </c>
      <c r="J6">
        <f ca="1" t="shared" si="6"/>
        <v>2901</v>
      </c>
      <c r="K6">
        <f ca="1" t="shared" si="7"/>
        <v>32</v>
      </c>
      <c r="L6">
        <f ca="1" t="shared" si="8"/>
        <v>92832</v>
      </c>
      <c r="M6">
        <f ca="1" t="shared" si="9"/>
        <v>290</v>
      </c>
      <c r="N6">
        <f ca="1" t="shared" si="10"/>
        <v>11604</v>
      </c>
      <c r="O6">
        <f ca="1" t="shared" si="11"/>
        <v>10327.56</v>
      </c>
      <c r="P6">
        <f ca="1" t="shared" si="12"/>
        <v>495.9</v>
      </c>
      <c r="Q6" t="str">
        <f t="shared" si="1"/>
        <v>货代公司A</v>
      </c>
      <c r="R6" t="str">
        <f ca="1" t="array" ref="R6">IF(B6=B5,R5,INDIRECT("z"&amp;RANDBETWEEN(2,4)))</f>
        <v>陆运</v>
      </c>
      <c r="S6" t="str">
        <f ca="1" t="shared" si="2"/>
        <v>陆10004</v>
      </c>
      <c r="T6" t="str">
        <f ca="1" t="shared" si="0"/>
        <v>上海</v>
      </c>
      <c r="U6" t="s">
        <v>49</v>
      </c>
      <c r="X6" t="s">
        <v>50</v>
      </c>
      <c r="AA6" t="s">
        <v>51</v>
      </c>
      <c r="AB6" t="s">
        <v>31</v>
      </c>
      <c r="AC6" t="s">
        <v>30</v>
      </c>
    </row>
    <row r="7" spans="1:29">
      <c r="A7" s="6">
        <v>44075</v>
      </c>
      <c r="B7">
        <v>100005</v>
      </c>
      <c r="C7" t="str">
        <f t="shared" si="3"/>
        <v>唛头5</v>
      </c>
      <c r="D7" t="str">
        <f t="shared" si="4"/>
        <v>发货公司5</v>
      </c>
      <c r="E7" t="str">
        <f t="shared" si="5"/>
        <v>收货公司5</v>
      </c>
      <c r="F7" t="str">
        <f ca="1" t="array" ref="F7">INDIRECT("aa"&amp;RANDBETWEEN(2,19))</f>
        <v>吉林省</v>
      </c>
      <c r="G7" t="s">
        <v>23</v>
      </c>
      <c r="H7" t="str">
        <f ca="1" t="array" ref="H7">IF(B7=B6,H6,INDIRECT("x"&amp;RANDBETWEEN(2,28)))</f>
        <v>越南</v>
      </c>
      <c r="I7" t="str">
        <f ca="1" t="array" ref="I7">"货物"&amp;INDIRECT("u"&amp;RANDBETWEEN(2,29))</f>
        <v>货物N</v>
      </c>
      <c r="J7">
        <f ca="1" t="shared" si="6"/>
        <v>4624</v>
      </c>
      <c r="K7">
        <f ca="1" t="shared" si="7"/>
        <v>86</v>
      </c>
      <c r="L7">
        <f ca="1" t="shared" si="8"/>
        <v>397664</v>
      </c>
      <c r="M7">
        <f ca="1" t="shared" si="9"/>
        <v>277</v>
      </c>
      <c r="N7">
        <f ca="1" t="shared" si="10"/>
        <v>0</v>
      </c>
      <c r="O7">
        <f ca="1" t="shared" si="11"/>
        <v>0</v>
      </c>
      <c r="P7">
        <f ca="1" t="shared" si="12"/>
        <v>285.31</v>
      </c>
      <c r="Q7" t="str">
        <f t="shared" si="1"/>
        <v>货代公司A</v>
      </c>
      <c r="R7" t="str">
        <f ca="1" t="array" ref="R7">IF(B7=B6,R6,INDIRECT("z"&amp;RANDBETWEEN(2,4)))</f>
        <v>陆运</v>
      </c>
      <c r="S7" t="str">
        <f ca="1" t="shared" si="2"/>
        <v>陆10005</v>
      </c>
      <c r="T7" t="str">
        <f ca="1" t="shared" si="0"/>
        <v>天津</v>
      </c>
      <c r="U7" t="s">
        <v>52</v>
      </c>
      <c r="X7" t="s">
        <v>53</v>
      </c>
      <c r="AA7" t="s">
        <v>54</v>
      </c>
      <c r="AB7" t="s">
        <v>55</v>
      </c>
      <c r="AC7" t="s">
        <v>56</v>
      </c>
    </row>
    <row r="8" spans="1:29">
      <c r="A8" s="6">
        <v>44075</v>
      </c>
      <c r="B8">
        <v>100005</v>
      </c>
      <c r="C8" t="str">
        <f t="shared" si="3"/>
        <v>唛头5</v>
      </c>
      <c r="D8" t="str">
        <f t="shared" si="4"/>
        <v>发货公司5</v>
      </c>
      <c r="E8" t="str">
        <f t="shared" si="5"/>
        <v>收货公司5</v>
      </c>
      <c r="F8" t="str">
        <f ca="1" t="array" ref="F8">INDIRECT("aa"&amp;RANDBETWEEN(2,19))</f>
        <v>黑龙江省</v>
      </c>
      <c r="G8" t="s">
        <v>23</v>
      </c>
      <c r="H8" t="str">
        <f ca="1" t="array" ref="H8">IF(B8=B7,H7,INDIRECT("x"&amp;RANDBETWEEN(2,28)))</f>
        <v>越南</v>
      </c>
      <c r="I8" t="str">
        <f ca="1" t="array" ref="I8">"货物"&amp;INDIRECT("u"&amp;RANDBETWEEN(2,29))</f>
        <v>货物K</v>
      </c>
      <c r="J8">
        <f ca="1" t="shared" si="6"/>
        <v>1738</v>
      </c>
      <c r="K8">
        <f ca="1" t="shared" si="7"/>
        <v>65</v>
      </c>
      <c r="L8">
        <f ca="1" t="shared" si="8"/>
        <v>112970</v>
      </c>
      <c r="M8">
        <f ca="1" t="shared" si="9"/>
        <v>226</v>
      </c>
      <c r="N8">
        <f ca="1" t="shared" si="10"/>
        <v>173.8</v>
      </c>
      <c r="O8">
        <f ca="1" t="shared" si="11"/>
        <v>156.42</v>
      </c>
      <c r="P8">
        <f ca="1" t="shared" si="12"/>
        <v>352.56</v>
      </c>
      <c r="Q8" t="str">
        <f t="shared" si="1"/>
        <v>货代公司A</v>
      </c>
      <c r="R8" t="str">
        <f ca="1" t="array" ref="R8">IF(B8=B7,R7,INDIRECT("z"&amp;RANDBETWEEN(2,4)))</f>
        <v>陆运</v>
      </c>
      <c r="S8" t="str">
        <f ca="1" t="shared" si="2"/>
        <v>陆10005</v>
      </c>
      <c r="T8" t="str">
        <f ca="1" t="shared" si="0"/>
        <v>天津</v>
      </c>
      <c r="U8" t="s">
        <v>57</v>
      </c>
      <c r="X8" t="s">
        <v>58</v>
      </c>
      <c r="AA8" t="s">
        <v>59</v>
      </c>
      <c r="AB8" t="s">
        <v>56</v>
      </c>
      <c r="AC8" t="s">
        <v>55</v>
      </c>
    </row>
    <row r="9" spans="1:29">
      <c r="A9" s="6">
        <v>44075</v>
      </c>
      <c r="B9">
        <v>100005</v>
      </c>
      <c r="C9" t="str">
        <f t="shared" si="3"/>
        <v>唛头5</v>
      </c>
      <c r="D9" t="str">
        <f t="shared" si="4"/>
        <v>发货公司5</v>
      </c>
      <c r="E9" t="str">
        <f t="shared" si="5"/>
        <v>收货公司5</v>
      </c>
      <c r="F9" t="str">
        <f ca="1" t="array" ref="F9">INDIRECT("aa"&amp;RANDBETWEEN(2,19))</f>
        <v>湖北省</v>
      </c>
      <c r="G9" t="s">
        <v>23</v>
      </c>
      <c r="H9" t="str">
        <f ca="1" t="array" ref="H9">IF(B9=B8,H8,INDIRECT("x"&amp;RANDBETWEEN(2,28)))</f>
        <v>越南</v>
      </c>
      <c r="I9" t="str">
        <f ca="1" t="array" ref="I9">"货物"&amp;INDIRECT("u"&amp;RANDBETWEEN(2,29))</f>
        <v>货物N</v>
      </c>
      <c r="J9">
        <f ca="1" t="shared" si="6"/>
        <v>2836</v>
      </c>
      <c r="K9">
        <f ca="1" t="shared" si="7"/>
        <v>25</v>
      </c>
      <c r="L9">
        <f ca="1" t="shared" si="8"/>
        <v>70900</v>
      </c>
      <c r="M9">
        <f ca="1" t="shared" si="9"/>
        <v>425</v>
      </c>
      <c r="N9">
        <f ca="1" t="shared" si="10"/>
        <v>3686.8</v>
      </c>
      <c r="O9">
        <f ca="1" t="shared" si="11"/>
        <v>3170.648</v>
      </c>
      <c r="P9">
        <f ca="1" t="shared" si="12"/>
        <v>718.25</v>
      </c>
      <c r="Q9" t="str">
        <f t="shared" si="1"/>
        <v>货代公司A</v>
      </c>
      <c r="R9" t="str">
        <f ca="1" t="array" ref="R9">IF(B9=B8,R8,INDIRECT("z"&amp;RANDBETWEEN(2,4)))</f>
        <v>陆运</v>
      </c>
      <c r="S9" t="str">
        <f ca="1" t="shared" si="2"/>
        <v>陆10005</v>
      </c>
      <c r="T9" t="str">
        <f ca="1" t="shared" si="0"/>
        <v>上海</v>
      </c>
      <c r="U9" t="s">
        <v>60</v>
      </c>
      <c r="X9" t="s">
        <v>61</v>
      </c>
      <c r="AA9" t="s">
        <v>62</v>
      </c>
      <c r="AB9" t="s">
        <v>56</v>
      </c>
      <c r="AC9" t="s">
        <v>55</v>
      </c>
    </row>
    <row r="10" spans="1:29">
      <c r="A10" s="6">
        <v>44075</v>
      </c>
      <c r="B10">
        <v>100008</v>
      </c>
      <c r="C10" t="str">
        <f t="shared" si="3"/>
        <v>唛头6</v>
      </c>
      <c r="D10" t="str">
        <f t="shared" si="4"/>
        <v>发货公司6</v>
      </c>
      <c r="E10" t="str">
        <f t="shared" si="5"/>
        <v>收货公司6</v>
      </c>
      <c r="F10" t="str">
        <f ca="1" t="array" ref="F10">INDIRECT("aa"&amp;RANDBETWEEN(2,19))</f>
        <v>浙江省</v>
      </c>
      <c r="G10" t="s">
        <v>23</v>
      </c>
      <c r="H10" t="str">
        <f ca="1" t="array" ref="H10">IF(B10=B9,H9,INDIRECT("x"&amp;RANDBETWEEN(2,28)))</f>
        <v>斯洛伐克</v>
      </c>
      <c r="I10" t="str">
        <f ca="1" t="array" ref="I10">"货物"&amp;INDIRECT("u"&amp;RANDBETWEEN(2,29))</f>
        <v>货物H</v>
      </c>
      <c r="J10">
        <f ca="1" t="shared" si="6"/>
        <v>3557</v>
      </c>
      <c r="K10">
        <f ca="1" t="shared" si="7"/>
        <v>18.9</v>
      </c>
      <c r="L10">
        <f ca="1" t="shared" si="8"/>
        <v>67227.3</v>
      </c>
      <c r="M10">
        <f ca="1" t="shared" si="9"/>
        <v>249</v>
      </c>
      <c r="N10">
        <f ca="1" t="shared" si="10"/>
        <v>711.4</v>
      </c>
      <c r="O10">
        <f ca="1" t="shared" si="11"/>
        <v>618.918</v>
      </c>
      <c r="P10">
        <f ca="1" t="shared" si="12"/>
        <v>263.94</v>
      </c>
      <c r="Q10" t="str">
        <f t="shared" si="1"/>
        <v>货代公司A</v>
      </c>
      <c r="R10" t="str">
        <f ca="1" t="array" ref="R10">IF(B10=B9,R9,INDIRECT("z"&amp;RANDBETWEEN(2,4)))</f>
        <v>船运</v>
      </c>
      <c r="S10" t="str">
        <f ca="1" t="shared" si="2"/>
        <v>船10006</v>
      </c>
      <c r="T10" t="str">
        <f ca="1" t="shared" si="0"/>
        <v>宁波</v>
      </c>
      <c r="U10" t="s">
        <v>63</v>
      </c>
      <c r="X10" t="s">
        <v>64</v>
      </c>
      <c r="AA10" t="s">
        <v>65</v>
      </c>
      <c r="AB10" t="s">
        <v>66</v>
      </c>
      <c r="AC10" t="s">
        <v>67</v>
      </c>
    </row>
    <row r="11" spans="1:29">
      <c r="A11" s="6">
        <v>44075</v>
      </c>
      <c r="B11">
        <v>100009</v>
      </c>
      <c r="C11" t="str">
        <f t="shared" si="3"/>
        <v>唛头7</v>
      </c>
      <c r="D11" t="str">
        <f t="shared" si="4"/>
        <v>发货公司7</v>
      </c>
      <c r="E11" t="str">
        <f t="shared" si="5"/>
        <v>收货公司7</v>
      </c>
      <c r="F11" t="str">
        <f ca="1" t="array" ref="F11">INDIRECT("aa"&amp;RANDBETWEEN(2,19))</f>
        <v>江西省</v>
      </c>
      <c r="G11" t="s">
        <v>23</v>
      </c>
      <c r="H11" t="str">
        <f ca="1" t="array" ref="H11">IF(B11=B10,H10,INDIRECT("x"&amp;RANDBETWEEN(2,28)))</f>
        <v>墨西哥</v>
      </c>
      <c r="I11" t="str">
        <f ca="1" t="array" ref="I11">"货物"&amp;INDIRECT("u"&amp;RANDBETWEEN(2,29))</f>
        <v>货物Q</v>
      </c>
      <c r="J11">
        <f ca="1" t="shared" si="6"/>
        <v>231</v>
      </c>
      <c r="K11">
        <f ca="1" t="shared" si="7"/>
        <v>5.8</v>
      </c>
      <c r="L11">
        <f ca="1" t="shared" si="8"/>
        <v>1339.8</v>
      </c>
      <c r="M11">
        <f ca="1" t="shared" si="9"/>
        <v>12</v>
      </c>
      <c r="N11">
        <f ca="1" t="shared" si="10"/>
        <v>69.3</v>
      </c>
      <c r="O11">
        <f ca="1" t="shared" si="11"/>
        <v>58.212</v>
      </c>
      <c r="P11">
        <f ca="1" t="shared" si="12"/>
        <v>19.56</v>
      </c>
      <c r="Q11" t="str">
        <f t="shared" si="1"/>
        <v>货代公司A</v>
      </c>
      <c r="R11" t="str">
        <f ca="1" t="array" ref="R11">IF(B11=B10,R10,INDIRECT("z"&amp;RANDBETWEEN(2,4)))</f>
        <v>船运</v>
      </c>
      <c r="S11" t="str">
        <f ca="1" t="shared" si="2"/>
        <v>船10007</v>
      </c>
      <c r="T11" t="str">
        <f ca="1" t="shared" si="0"/>
        <v>宁波</v>
      </c>
      <c r="U11" t="s">
        <v>68</v>
      </c>
      <c r="X11" t="s">
        <v>69</v>
      </c>
      <c r="AA11" t="s">
        <v>70</v>
      </c>
      <c r="AB11" t="s">
        <v>56</v>
      </c>
      <c r="AC11" t="s">
        <v>55</v>
      </c>
    </row>
    <row r="12" ht="15" spans="1:29">
      <c r="A12" s="6">
        <v>44075</v>
      </c>
      <c r="B12">
        <v>100010</v>
      </c>
      <c r="C12" t="str">
        <f t="shared" si="3"/>
        <v>唛头8</v>
      </c>
      <c r="D12" t="str">
        <f t="shared" si="4"/>
        <v>发货公司8</v>
      </c>
      <c r="E12" t="str">
        <f t="shared" si="5"/>
        <v>收货公司8</v>
      </c>
      <c r="F12" t="str">
        <f ca="1" t="array" ref="F12">INDIRECT("aa"&amp;RANDBETWEEN(2,19))</f>
        <v>贵州省</v>
      </c>
      <c r="G12" t="s">
        <v>23</v>
      </c>
      <c r="H12" t="str">
        <f ca="1" t="array" ref="H12">IF(B12=B11,H11,INDIRECT("x"&amp;RANDBETWEEN(2,28)))</f>
        <v>越南</v>
      </c>
      <c r="I12" t="str">
        <f ca="1" t="array" ref="I12">"货物"&amp;INDIRECT("u"&amp;RANDBETWEEN(2,29))</f>
        <v>货物M</v>
      </c>
      <c r="J12">
        <f ca="1" t="shared" si="6"/>
        <v>4582</v>
      </c>
      <c r="K12">
        <f ca="1" t="shared" si="7"/>
        <v>72.2</v>
      </c>
      <c r="L12">
        <f ca="1" t="shared" si="8"/>
        <v>330820.4</v>
      </c>
      <c r="M12">
        <f ca="1" t="shared" si="9"/>
        <v>687</v>
      </c>
      <c r="N12">
        <f ca="1" t="shared" si="10"/>
        <v>3207.4</v>
      </c>
      <c r="O12">
        <f ca="1" t="shared" si="11"/>
        <v>2694.216</v>
      </c>
      <c r="P12">
        <f ca="1" t="shared" si="12"/>
        <v>1119.81</v>
      </c>
      <c r="Q12" t="str">
        <f t="shared" si="1"/>
        <v>货代公司A</v>
      </c>
      <c r="R12" t="str">
        <f ca="1" t="array" ref="R12">IF(B12=B11,R11,INDIRECT("z"&amp;RANDBETWEEN(2,4)))</f>
        <v>陆运</v>
      </c>
      <c r="S12" t="str">
        <f ca="1" t="shared" si="2"/>
        <v>陆10008</v>
      </c>
      <c r="T12" t="str">
        <f ca="1" t="shared" si="0"/>
        <v>佛山</v>
      </c>
      <c r="U12" t="s">
        <v>71</v>
      </c>
      <c r="X12" s="7" t="s">
        <v>72</v>
      </c>
      <c r="AA12" t="s">
        <v>73</v>
      </c>
      <c r="AB12" t="s">
        <v>31</v>
      </c>
      <c r="AC12" t="s">
        <v>55</v>
      </c>
    </row>
    <row r="13" spans="1:29">
      <c r="A13" s="6">
        <v>44075</v>
      </c>
      <c r="B13">
        <v>100011</v>
      </c>
      <c r="C13" t="str">
        <f t="shared" si="3"/>
        <v>唛头9</v>
      </c>
      <c r="D13" t="str">
        <f t="shared" si="4"/>
        <v>发货公司9</v>
      </c>
      <c r="E13" t="str">
        <f t="shared" si="5"/>
        <v>收货公司9</v>
      </c>
      <c r="F13" t="str">
        <f ca="1" t="array" ref="F13">INDIRECT("aa"&amp;RANDBETWEEN(2,19))</f>
        <v>湖北省</v>
      </c>
      <c r="G13" t="s">
        <v>23</v>
      </c>
      <c r="H13" t="str">
        <f ca="1" t="array" ref="H13">IF(B13=B12,H12,INDIRECT("x"&amp;RANDBETWEEN(2,28)))</f>
        <v>尼加拉瓜</v>
      </c>
      <c r="I13" t="str">
        <f ca="1" t="array" ref="I13">"货物"&amp;INDIRECT("u"&amp;RANDBETWEEN(2,29))</f>
        <v>货物P</v>
      </c>
      <c r="J13">
        <f ca="1" t="shared" si="6"/>
        <v>292</v>
      </c>
      <c r="K13">
        <f ca="1" t="shared" si="7"/>
        <v>38.6</v>
      </c>
      <c r="L13">
        <f ca="1" t="shared" si="8"/>
        <v>11271.2</v>
      </c>
      <c r="M13">
        <f ca="1" t="shared" si="9"/>
        <v>41</v>
      </c>
      <c r="N13">
        <f ca="1" t="shared" si="10"/>
        <v>438</v>
      </c>
      <c r="O13">
        <f ca="1" t="shared" si="11"/>
        <v>385.44</v>
      </c>
      <c r="P13">
        <f ca="1" t="shared" si="12"/>
        <v>59.45</v>
      </c>
      <c r="Q13" t="str">
        <f t="shared" si="1"/>
        <v>货代公司A</v>
      </c>
      <c r="R13" t="str">
        <f ca="1" t="array" ref="R13">IF(B13=B12,R12,INDIRECT("z"&amp;RANDBETWEEN(2,4)))</f>
        <v>陆运</v>
      </c>
      <c r="S13" t="str">
        <f ca="1" t="shared" si="2"/>
        <v>陆10009</v>
      </c>
      <c r="T13" t="str">
        <f ca="1" t="shared" si="0"/>
        <v>上海</v>
      </c>
      <c r="U13" t="s">
        <v>74</v>
      </c>
      <c r="X13" t="s">
        <v>75</v>
      </c>
      <c r="AA13" t="s">
        <v>76</v>
      </c>
      <c r="AB13" t="s">
        <v>30</v>
      </c>
      <c r="AC13" t="s">
        <v>55</v>
      </c>
    </row>
    <row r="14" spans="1:29">
      <c r="A14" s="6">
        <v>44075</v>
      </c>
      <c r="B14">
        <v>100012</v>
      </c>
      <c r="C14" t="str">
        <f t="shared" si="3"/>
        <v>唛头10</v>
      </c>
      <c r="D14" t="str">
        <f t="shared" si="4"/>
        <v>发货公司10</v>
      </c>
      <c r="E14" t="str">
        <f t="shared" si="5"/>
        <v>收货公司10</v>
      </c>
      <c r="F14" t="str">
        <f ca="1" t="array" ref="F14">INDIRECT("aa"&amp;RANDBETWEEN(2,19))</f>
        <v>山西省</v>
      </c>
      <c r="G14" t="s">
        <v>23</v>
      </c>
      <c r="H14" t="str">
        <f ca="1" t="array" ref="H14">IF(B14=B13,H13,INDIRECT("x"&amp;RANDBETWEEN(2,28)))</f>
        <v>吉尔吉斯斯坦</v>
      </c>
      <c r="I14" t="str">
        <f ca="1" t="array" ref="I14">"货物"&amp;INDIRECT("u"&amp;RANDBETWEEN(2,29))</f>
        <v>货物L</v>
      </c>
      <c r="J14">
        <f ca="1" t="shared" si="6"/>
        <v>2652</v>
      </c>
      <c r="K14">
        <f ca="1" t="shared" si="7"/>
        <v>98</v>
      </c>
      <c r="L14">
        <f ca="1" t="shared" si="8"/>
        <v>259896</v>
      </c>
      <c r="M14">
        <f ca="1" t="shared" si="9"/>
        <v>239</v>
      </c>
      <c r="N14">
        <f ca="1" t="shared" si="10"/>
        <v>4243.2</v>
      </c>
      <c r="O14">
        <f ca="1" t="shared" si="11"/>
        <v>3818.88</v>
      </c>
      <c r="P14">
        <f ca="1" t="shared" si="12"/>
        <v>375.23</v>
      </c>
      <c r="Q14" t="str">
        <f t="shared" si="1"/>
        <v>货代公司A</v>
      </c>
      <c r="R14" t="str">
        <f ca="1" t="array" ref="R14">IF(B14=B13,R13,INDIRECT("z"&amp;RANDBETWEEN(2,4)))</f>
        <v>船运</v>
      </c>
      <c r="S14" t="str">
        <f ca="1" t="shared" si="2"/>
        <v>船10010</v>
      </c>
      <c r="T14" t="str">
        <f ca="1" t="shared" si="0"/>
        <v>青岛</v>
      </c>
      <c r="U14" t="s">
        <v>77</v>
      </c>
      <c r="X14" t="s">
        <v>78</v>
      </c>
      <c r="AA14" t="s">
        <v>79</v>
      </c>
      <c r="AB14" t="s">
        <v>30</v>
      </c>
      <c r="AC14" t="s">
        <v>55</v>
      </c>
    </row>
    <row r="15" spans="1:29">
      <c r="A15" s="6">
        <v>44075</v>
      </c>
      <c r="B15">
        <v>100013</v>
      </c>
      <c r="C15" t="str">
        <f t="shared" si="3"/>
        <v>唛头11</v>
      </c>
      <c r="D15" t="str">
        <f t="shared" si="4"/>
        <v>发货公司11</v>
      </c>
      <c r="E15" t="str">
        <f t="shared" si="5"/>
        <v>收货公司11</v>
      </c>
      <c r="F15" t="str">
        <f ca="1" t="array" ref="F15">INDIRECT("aa"&amp;RANDBETWEEN(2,19))</f>
        <v>山西省</v>
      </c>
      <c r="G15" t="s">
        <v>23</v>
      </c>
      <c r="H15" t="str">
        <f ca="1" t="array" ref="H15">IF(B15=B14,H14,INDIRECT("x"&amp;RANDBETWEEN(2,28)))</f>
        <v>哥斯达黎加</v>
      </c>
      <c r="I15" t="str">
        <f ca="1" t="array" ref="I15">"货物"&amp;INDIRECT("u"&amp;RANDBETWEEN(2,29))</f>
        <v>货物Q</v>
      </c>
      <c r="J15">
        <f ca="1" t="shared" si="6"/>
        <v>169</v>
      </c>
      <c r="K15">
        <f ca="1" t="shared" si="7"/>
        <v>66.9</v>
      </c>
      <c r="L15">
        <f ca="1" t="shared" si="8"/>
        <v>11306.1</v>
      </c>
      <c r="M15">
        <f ca="1" t="shared" si="9"/>
        <v>20</v>
      </c>
      <c r="N15">
        <f ca="1" t="shared" si="10"/>
        <v>591.5</v>
      </c>
      <c r="O15">
        <f ca="1" t="shared" si="11"/>
        <v>526.435</v>
      </c>
      <c r="P15">
        <f ca="1" t="shared" si="12"/>
        <v>29</v>
      </c>
      <c r="Q15" t="str">
        <f t="shared" si="1"/>
        <v>货代公司A</v>
      </c>
      <c r="R15" t="str">
        <f ca="1" t="array" ref="R15">IF(B15=B14,R14,INDIRECT("z"&amp;RANDBETWEEN(2,4)))</f>
        <v>船运</v>
      </c>
      <c r="S15" t="str">
        <f ca="1" t="shared" si="2"/>
        <v>船10011</v>
      </c>
      <c r="T15" t="str">
        <f ca="1" t="shared" si="0"/>
        <v>天津</v>
      </c>
      <c r="U15" t="s">
        <v>74</v>
      </c>
      <c r="X15" t="s">
        <v>80</v>
      </c>
      <c r="AA15" t="s">
        <v>81</v>
      </c>
      <c r="AB15" t="s">
        <v>30</v>
      </c>
      <c r="AC15" t="s">
        <v>55</v>
      </c>
    </row>
    <row r="16" spans="1:29">
      <c r="A16" s="6">
        <v>44075</v>
      </c>
      <c r="B16">
        <v>100014</v>
      </c>
      <c r="C16" t="str">
        <f t="shared" si="3"/>
        <v>唛头12</v>
      </c>
      <c r="D16" t="str">
        <f t="shared" si="4"/>
        <v>发货公司12</v>
      </c>
      <c r="E16" t="str">
        <f t="shared" si="5"/>
        <v>收货公司12</v>
      </c>
      <c r="F16" t="str">
        <f ca="1" t="array" ref="F16">INDIRECT("aa"&amp;RANDBETWEEN(2,19))</f>
        <v>山东省</v>
      </c>
      <c r="G16" t="s">
        <v>23</v>
      </c>
      <c r="H16" t="str">
        <f ca="1" t="array" ref="H16">IF(B16=B15,H15,INDIRECT("x"&amp;RANDBETWEEN(2,28)))</f>
        <v>美国</v>
      </c>
      <c r="I16" t="str">
        <f ca="1" t="array" ref="I16">"货物"&amp;INDIRECT("u"&amp;RANDBETWEEN(2,29))</f>
        <v>货物I</v>
      </c>
      <c r="J16">
        <f ca="1" t="shared" si="6"/>
        <v>3660</v>
      </c>
      <c r="K16">
        <f ca="1" t="shared" si="7"/>
        <v>53.9</v>
      </c>
      <c r="L16">
        <f ca="1" t="shared" si="8"/>
        <v>197274</v>
      </c>
      <c r="M16">
        <f ca="1" t="shared" si="9"/>
        <v>512</v>
      </c>
      <c r="N16">
        <f ca="1" t="shared" si="10"/>
        <v>5856</v>
      </c>
      <c r="O16">
        <f ca="1" t="shared" si="11"/>
        <v>4743.36</v>
      </c>
      <c r="P16">
        <f ca="1" t="shared" si="12"/>
        <v>599.04</v>
      </c>
      <c r="Q16" t="str">
        <f t="shared" si="1"/>
        <v>货代公司A</v>
      </c>
      <c r="R16" t="str">
        <f ca="1" t="array" ref="R16">IF(B16=B15,R15,INDIRECT("z"&amp;RANDBETWEEN(2,4)))</f>
        <v>陆运</v>
      </c>
      <c r="S16" t="str">
        <f ca="1" t="shared" si="2"/>
        <v>陆10012</v>
      </c>
      <c r="T16" t="str">
        <f ca="1" t="shared" si="0"/>
        <v>上海</v>
      </c>
      <c r="U16" t="s">
        <v>77</v>
      </c>
      <c r="X16" t="s">
        <v>82</v>
      </c>
      <c r="AA16" t="s">
        <v>83</v>
      </c>
      <c r="AB16" t="s">
        <v>84</v>
      </c>
      <c r="AC16" t="s">
        <v>85</v>
      </c>
    </row>
    <row r="17" spans="1:29">
      <c r="A17" s="6">
        <v>44075</v>
      </c>
      <c r="B17">
        <v>100015</v>
      </c>
      <c r="C17" t="str">
        <f t="shared" si="3"/>
        <v>唛头13</v>
      </c>
      <c r="D17" t="str">
        <f t="shared" si="4"/>
        <v>发货公司13</v>
      </c>
      <c r="E17" t="str">
        <f t="shared" si="5"/>
        <v>收货公司13</v>
      </c>
      <c r="F17" t="str">
        <f ca="1" t="array" ref="F17">INDIRECT("aa"&amp;RANDBETWEEN(2,19))</f>
        <v>山东省</v>
      </c>
      <c r="G17" t="s">
        <v>23</v>
      </c>
      <c r="H17" t="str">
        <f ca="1" t="array" ref="H17">IF(B17=B16,H16,INDIRECT("x"&amp;RANDBETWEEN(2,28)))</f>
        <v>新加坡</v>
      </c>
      <c r="I17" t="str">
        <f ca="1" t="array" ref="I17">"货物"&amp;INDIRECT("u"&amp;RANDBETWEEN(2,29))</f>
        <v>货物B</v>
      </c>
      <c r="J17">
        <f ca="1" t="shared" si="6"/>
        <v>982</v>
      </c>
      <c r="K17">
        <f ca="1" t="shared" si="7"/>
        <v>29.5</v>
      </c>
      <c r="L17">
        <f ca="1" t="shared" si="8"/>
        <v>28969</v>
      </c>
      <c r="M17">
        <f ca="1" t="shared" si="9"/>
        <v>79</v>
      </c>
      <c r="N17">
        <f ca="1" t="shared" si="10"/>
        <v>3142.4</v>
      </c>
      <c r="O17">
        <f ca="1" t="shared" si="11"/>
        <v>2513.92</v>
      </c>
      <c r="P17">
        <f ca="1" t="shared" si="12"/>
        <v>154.84</v>
      </c>
      <c r="Q17" t="str">
        <f t="shared" si="1"/>
        <v>货代公司A</v>
      </c>
      <c r="R17" t="str">
        <f ca="1" t="array" ref="R17">IF(B17=B16,R16,INDIRECT("z"&amp;RANDBETWEEN(2,4)))</f>
        <v>陆运</v>
      </c>
      <c r="S17" t="str">
        <f ca="1" t="shared" si="2"/>
        <v>陆10013</v>
      </c>
      <c r="T17" t="str">
        <f ca="1" t="shared" si="0"/>
        <v>青岛</v>
      </c>
      <c r="U17" t="s">
        <v>86</v>
      </c>
      <c r="X17" t="s">
        <v>87</v>
      </c>
      <c r="AA17" t="s">
        <v>88</v>
      </c>
      <c r="AB17" t="s">
        <v>30</v>
      </c>
      <c r="AC17" t="s">
        <v>67</v>
      </c>
    </row>
    <row r="18" spans="1:29">
      <c r="A18" s="6">
        <v>44075</v>
      </c>
      <c r="B18">
        <v>100015</v>
      </c>
      <c r="C18" t="str">
        <f t="shared" si="3"/>
        <v>唛头13</v>
      </c>
      <c r="D18" t="str">
        <f t="shared" si="4"/>
        <v>发货公司13</v>
      </c>
      <c r="E18" t="str">
        <f t="shared" si="5"/>
        <v>收货公司13</v>
      </c>
      <c r="F18" t="str">
        <f ca="1" t="array" ref="F18">INDIRECT("aa"&amp;RANDBETWEEN(2,19))</f>
        <v>山西省</v>
      </c>
      <c r="G18" t="s">
        <v>23</v>
      </c>
      <c r="H18" t="str">
        <f ca="1" t="array" ref="H18">IF(B18=B17,H17,INDIRECT("x"&amp;RANDBETWEEN(2,28)))</f>
        <v>新加坡</v>
      </c>
      <c r="I18" t="str">
        <f ca="1" t="array" ref="I18">"货物"&amp;INDIRECT("u"&amp;RANDBETWEEN(2,29))</f>
        <v>货物C</v>
      </c>
      <c r="J18">
        <f ca="1" t="shared" si="6"/>
        <v>3506</v>
      </c>
      <c r="K18">
        <f ca="1" t="shared" si="7"/>
        <v>68.2</v>
      </c>
      <c r="L18">
        <f ca="1" t="shared" si="8"/>
        <v>239109.2</v>
      </c>
      <c r="M18">
        <f ca="1" t="shared" si="9"/>
        <v>245</v>
      </c>
      <c r="N18">
        <f ca="1" t="shared" si="10"/>
        <v>11569.8</v>
      </c>
      <c r="O18">
        <f ca="1" t="shared" si="11"/>
        <v>9950.028</v>
      </c>
      <c r="P18">
        <f ca="1" t="shared" si="12"/>
        <v>235.2</v>
      </c>
      <c r="Q18" t="str">
        <f t="shared" si="1"/>
        <v>货代公司A</v>
      </c>
      <c r="R18" t="str">
        <f ca="1" t="array" ref="R18">IF(B18=B17,R17,INDIRECT("z"&amp;RANDBETWEEN(2,4)))</f>
        <v>陆运</v>
      </c>
      <c r="S18" t="str">
        <f ca="1" t="shared" si="2"/>
        <v>陆10013</v>
      </c>
      <c r="T18" t="str">
        <f ca="1" t="shared" si="0"/>
        <v>天津</v>
      </c>
      <c r="U18" t="s">
        <v>89</v>
      </c>
      <c r="X18" t="s">
        <v>90</v>
      </c>
      <c r="AA18" t="s">
        <v>91</v>
      </c>
      <c r="AB18" t="s">
        <v>85</v>
      </c>
      <c r="AC18" t="s">
        <v>67</v>
      </c>
    </row>
    <row r="19" spans="1:29">
      <c r="A19" s="6">
        <v>44075</v>
      </c>
      <c r="B19">
        <v>100017</v>
      </c>
      <c r="C19" t="str">
        <f t="shared" si="3"/>
        <v>唛头14</v>
      </c>
      <c r="D19" t="str">
        <f t="shared" si="4"/>
        <v>发货公司14</v>
      </c>
      <c r="E19" t="str">
        <f t="shared" si="5"/>
        <v>收货公司14</v>
      </c>
      <c r="F19" t="str">
        <f ca="1" t="array" ref="F19">INDIRECT("aa"&amp;RANDBETWEEN(2,19))</f>
        <v>贵州省</v>
      </c>
      <c r="G19" t="s">
        <v>23</v>
      </c>
      <c r="H19" t="str">
        <f ca="1" t="array" ref="H19">IF(B19=B18,H18,INDIRECT("x"&amp;RANDBETWEEN(2,28)))</f>
        <v>波兰</v>
      </c>
      <c r="I19" t="str">
        <f ca="1" t="array" ref="I19">"货物"&amp;INDIRECT("u"&amp;RANDBETWEEN(2,29))</f>
        <v>货物Y</v>
      </c>
      <c r="J19">
        <f ca="1" t="shared" si="6"/>
        <v>1793</v>
      </c>
      <c r="K19">
        <f ca="1" t="shared" si="7"/>
        <v>86.2</v>
      </c>
      <c r="L19">
        <f ca="1" t="shared" si="8"/>
        <v>154556.6</v>
      </c>
      <c r="M19">
        <f ca="1" t="shared" si="9"/>
        <v>126</v>
      </c>
      <c r="N19">
        <f ca="1" t="shared" si="10"/>
        <v>2510.2</v>
      </c>
      <c r="O19">
        <f ca="1" t="shared" si="11"/>
        <v>2234.078</v>
      </c>
      <c r="P19">
        <f ca="1" t="shared" si="12"/>
        <v>129.78</v>
      </c>
      <c r="Q19" t="str">
        <f t="shared" si="1"/>
        <v>货代公司A</v>
      </c>
      <c r="R19" t="str">
        <f ca="1" t="array" ref="R19">IF(B19=B18,R18,INDIRECT("z"&amp;RANDBETWEEN(2,4)))</f>
        <v>船运</v>
      </c>
      <c r="S19" t="str">
        <f ca="1" t="shared" si="2"/>
        <v>船10014</v>
      </c>
      <c r="T19" t="str">
        <f ca="1" t="shared" si="0"/>
        <v>广州</v>
      </c>
      <c r="U19" t="s">
        <v>92</v>
      </c>
      <c r="X19" t="s">
        <v>93</v>
      </c>
      <c r="AA19" t="s">
        <v>94</v>
      </c>
      <c r="AB19" t="s">
        <v>85</v>
      </c>
      <c r="AC19" t="s">
        <v>67</v>
      </c>
    </row>
    <row r="20" spans="1:24">
      <c r="A20" s="6">
        <v>44075</v>
      </c>
      <c r="B20">
        <v>100018</v>
      </c>
      <c r="C20" t="str">
        <f t="shared" si="3"/>
        <v>唛头15</v>
      </c>
      <c r="D20" t="str">
        <f t="shared" si="4"/>
        <v>发货公司15</v>
      </c>
      <c r="E20" t="str">
        <f t="shared" si="5"/>
        <v>收货公司15</v>
      </c>
      <c r="F20" t="str">
        <f ca="1" t="array" ref="F20">INDIRECT("aa"&amp;RANDBETWEEN(2,19))</f>
        <v>辽宁省</v>
      </c>
      <c r="G20" t="s">
        <v>23</v>
      </c>
      <c r="H20" t="str">
        <f ca="1" t="array" ref="H20">IF(B20=B19,H19,INDIRECT("x"&amp;RANDBETWEEN(2,28)))</f>
        <v>塔吉克斯坦</v>
      </c>
      <c r="I20" t="str">
        <f ca="1" t="array" ref="I20">"货物"&amp;INDIRECT("u"&amp;RANDBETWEEN(2,29))</f>
        <v>货物X</v>
      </c>
      <c r="J20">
        <f ca="1" t="shared" si="6"/>
        <v>768</v>
      </c>
      <c r="K20">
        <f ca="1" t="shared" si="7"/>
        <v>95.4</v>
      </c>
      <c r="L20">
        <f ca="1" t="shared" si="8"/>
        <v>73267.2</v>
      </c>
      <c r="M20">
        <f ca="1" t="shared" si="9"/>
        <v>54</v>
      </c>
      <c r="N20">
        <f ca="1" t="shared" si="10"/>
        <v>1996.8</v>
      </c>
      <c r="O20">
        <f ca="1" t="shared" si="11"/>
        <v>1717.248</v>
      </c>
      <c r="P20">
        <f ca="1" t="shared" si="12"/>
        <v>74.52</v>
      </c>
      <c r="Q20" t="str">
        <f t="shared" si="1"/>
        <v>货代公司A</v>
      </c>
      <c r="R20" t="str">
        <f ca="1" t="array" ref="R20">IF(B20=B19,R19,INDIRECT("z"&amp;RANDBETWEEN(2,4)))</f>
        <v>陆运</v>
      </c>
      <c r="S20" t="str">
        <f ca="1" t="shared" si="2"/>
        <v>陆10015</v>
      </c>
      <c r="T20" t="str">
        <f ca="1" t="shared" si="0"/>
        <v>青岛</v>
      </c>
      <c r="U20" t="s">
        <v>95</v>
      </c>
      <c r="X20" t="s">
        <v>96</v>
      </c>
    </row>
    <row r="21" ht="15" spans="1:24">
      <c r="A21" s="6">
        <v>44075</v>
      </c>
      <c r="B21">
        <v>100019</v>
      </c>
      <c r="C21" t="str">
        <f t="shared" si="3"/>
        <v>唛头16</v>
      </c>
      <c r="D21" t="str">
        <f t="shared" si="4"/>
        <v>发货公司16</v>
      </c>
      <c r="E21" t="str">
        <f t="shared" si="5"/>
        <v>收货公司16</v>
      </c>
      <c r="F21" t="str">
        <f ca="1" t="array" ref="F21">INDIRECT("aa"&amp;RANDBETWEEN(2,19))</f>
        <v>湖南省</v>
      </c>
      <c r="G21" t="s">
        <v>23</v>
      </c>
      <c r="H21" t="str">
        <f ca="1" t="array" ref="H21">IF(B21=B20,H20,INDIRECT("x"&amp;RANDBETWEEN(2,28)))</f>
        <v>哥斯达黎加</v>
      </c>
      <c r="I21" t="str">
        <f ca="1" t="array" ref="I21">"货物"&amp;INDIRECT("u"&amp;RANDBETWEEN(2,29))</f>
        <v>货物H</v>
      </c>
      <c r="J21">
        <f ca="1" t="shared" si="6"/>
        <v>650</v>
      </c>
      <c r="K21">
        <f ca="1" t="shared" si="7"/>
        <v>43.7</v>
      </c>
      <c r="L21">
        <f ca="1" t="shared" si="8"/>
        <v>28405</v>
      </c>
      <c r="M21">
        <f ca="1" t="shared" si="9"/>
        <v>98</v>
      </c>
      <c r="N21">
        <f ca="1" t="shared" si="10"/>
        <v>1755</v>
      </c>
      <c r="O21">
        <f ca="1" t="shared" si="11"/>
        <v>1561.95</v>
      </c>
      <c r="P21">
        <f ca="1" t="shared" si="12"/>
        <v>143.08</v>
      </c>
      <c r="Q21" t="str">
        <f t="shared" si="1"/>
        <v>货代公司A</v>
      </c>
      <c r="R21" t="str">
        <f ca="1" t="array" ref="R21">IF(B21=B20,R20,INDIRECT("z"&amp;RANDBETWEEN(2,4)))</f>
        <v>空运</v>
      </c>
      <c r="S21" t="str">
        <f ca="1" t="shared" si="2"/>
        <v>空10016</v>
      </c>
      <c r="T21" t="str">
        <f ca="1" t="shared" si="0"/>
        <v>上海</v>
      </c>
      <c r="U21" t="s">
        <v>97</v>
      </c>
      <c r="X21" s="7" t="s">
        <v>98</v>
      </c>
    </row>
    <row r="22" spans="1:24">
      <c r="A22" s="6">
        <v>44075</v>
      </c>
      <c r="B22">
        <v>100020</v>
      </c>
      <c r="C22" t="str">
        <f t="shared" si="3"/>
        <v>唛头17</v>
      </c>
      <c r="D22" t="str">
        <f t="shared" si="4"/>
        <v>发货公司17</v>
      </c>
      <c r="E22" t="str">
        <f t="shared" si="5"/>
        <v>收货公司17</v>
      </c>
      <c r="F22" t="str">
        <f ca="1" t="array" ref="F22">INDIRECT("aa"&amp;RANDBETWEEN(2,19))</f>
        <v>黑龙江省</v>
      </c>
      <c r="G22" t="s">
        <v>23</v>
      </c>
      <c r="H22" t="str">
        <f ca="1" t="array" ref="H22">IF(B22=B21,H21,INDIRECT("x"&amp;RANDBETWEEN(2,28)))</f>
        <v>日本</v>
      </c>
      <c r="I22" t="str">
        <f ca="1" t="array" ref="I22">"货物"&amp;INDIRECT("u"&amp;RANDBETWEEN(2,29))</f>
        <v>货物X</v>
      </c>
      <c r="J22">
        <f ca="1" t="shared" si="6"/>
        <v>2892</v>
      </c>
      <c r="K22">
        <f ca="1" t="shared" si="7"/>
        <v>74.9</v>
      </c>
      <c r="L22">
        <f ca="1" t="shared" si="8"/>
        <v>216610.8</v>
      </c>
      <c r="M22">
        <f ca="1" t="shared" si="9"/>
        <v>376</v>
      </c>
      <c r="N22">
        <f ca="1" t="shared" si="10"/>
        <v>8386.8</v>
      </c>
      <c r="O22">
        <f ca="1" t="shared" si="11"/>
        <v>7212.648</v>
      </c>
      <c r="P22">
        <f ca="1" t="shared" si="12"/>
        <v>564</v>
      </c>
      <c r="Q22" t="str">
        <f t="shared" si="1"/>
        <v>货代公司A</v>
      </c>
      <c r="R22" t="str">
        <f ca="1" t="array" ref="R22">IF(B22=B21,R21,INDIRECT("z"&amp;RANDBETWEEN(2,4)))</f>
        <v>空运</v>
      </c>
      <c r="S22" t="str">
        <f ca="1" t="shared" si="2"/>
        <v>空10017</v>
      </c>
      <c r="T22" t="str">
        <f ca="1" t="shared" si="0"/>
        <v>青岛</v>
      </c>
      <c r="U22" t="s">
        <v>99</v>
      </c>
      <c r="X22" t="s">
        <v>34</v>
      </c>
    </row>
    <row r="23" spans="1:24">
      <c r="A23" s="6">
        <v>44075</v>
      </c>
      <c r="B23">
        <v>100021</v>
      </c>
      <c r="C23" t="str">
        <f t="shared" si="3"/>
        <v>唛头18</v>
      </c>
      <c r="D23" t="str">
        <f t="shared" si="4"/>
        <v>发货公司18</v>
      </c>
      <c r="E23" t="str">
        <f t="shared" si="5"/>
        <v>收货公司18</v>
      </c>
      <c r="F23" t="str">
        <f ca="1" t="array" ref="F23">INDIRECT("aa"&amp;RANDBETWEEN(2,19))</f>
        <v>贵州省</v>
      </c>
      <c r="G23" t="s">
        <v>23</v>
      </c>
      <c r="H23" t="str">
        <f ca="1" t="array" ref="H23">IF(B23=B22,H22,INDIRECT("x"&amp;RANDBETWEEN(2,28)))</f>
        <v>韩国</v>
      </c>
      <c r="I23" t="str">
        <f ca="1" t="array" ref="I23">"货物"&amp;INDIRECT("u"&amp;RANDBETWEEN(2,29))</f>
        <v>货物P</v>
      </c>
      <c r="J23">
        <f ca="1" t="shared" si="6"/>
        <v>3185</v>
      </c>
      <c r="K23">
        <f ca="1" t="shared" si="7"/>
        <v>41.3</v>
      </c>
      <c r="L23">
        <f ca="1" t="shared" si="8"/>
        <v>131540.5</v>
      </c>
      <c r="M23">
        <f ca="1" t="shared" si="9"/>
        <v>478</v>
      </c>
      <c r="N23">
        <f ca="1" t="shared" si="10"/>
        <v>3822</v>
      </c>
      <c r="O23">
        <f ca="1" t="shared" si="11"/>
        <v>3325.14</v>
      </c>
      <c r="P23">
        <f ca="1" t="shared" si="12"/>
        <v>635.74</v>
      </c>
      <c r="Q23" t="str">
        <f t="shared" si="1"/>
        <v>货代公司A</v>
      </c>
      <c r="R23" t="str">
        <f ca="1" t="array" ref="R23">IF(B23=B22,R22,INDIRECT("z"&amp;RANDBETWEEN(2,4)))</f>
        <v>空运</v>
      </c>
      <c r="S23" t="str">
        <f ca="1" t="shared" si="2"/>
        <v>空10018</v>
      </c>
      <c r="T23" t="str">
        <f ca="1" t="shared" si="0"/>
        <v>佛山</v>
      </c>
      <c r="U23" t="s">
        <v>100</v>
      </c>
      <c r="X23" t="s">
        <v>101</v>
      </c>
    </row>
    <row r="24" ht="15" spans="1:24">
      <c r="A24" s="6">
        <v>44075</v>
      </c>
      <c r="B24">
        <v>100022</v>
      </c>
      <c r="C24" t="str">
        <f t="shared" si="3"/>
        <v>唛头19</v>
      </c>
      <c r="D24" t="str">
        <f t="shared" si="4"/>
        <v>发货公司19</v>
      </c>
      <c r="E24" t="str">
        <f t="shared" si="5"/>
        <v>收货公司19</v>
      </c>
      <c r="F24" t="str">
        <f ca="1" t="array" ref="F24">INDIRECT("aa"&amp;RANDBETWEEN(2,19))</f>
        <v>黑龙江省</v>
      </c>
      <c r="G24" t="s">
        <v>23</v>
      </c>
      <c r="H24" t="str">
        <f ca="1" t="array" ref="H24">IF(B24=B23,H23,INDIRECT("x"&amp;RANDBETWEEN(2,28)))</f>
        <v>越南</v>
      </c>
      <c r="I24" t="str">
        <f ca="1" t="array" ref="I24">"货物"&amp;INDIRECT("u"&amp;RANDBETWEEN(2,29))</f>
        <v>货物I</v>
      </c>
      <c r="J24">
        <f ca="1" t="shared" si="6"/>
        <v>3969</v>
      </c>
      <c r="K24">
        <f ca="1" t="shared" si="7"/>
        <v>46.9</v>
      </c>
      <c r="L24">
        <f ca="1" t="shared" si="8"/>
        <v>186146.1</v>
      </c>
      <c r="M24">
        <f ca="1" t="shared" si="9"/>
        <v>437</v>
      </c>
      <c r="N24">
        <f ca="1" t="shared" si="10"/>
        <v>12700.8</v>
      </c>
      <c r="O24">
        <f ca="1" t="shared" si="11"/>
        <v>11176.704</v>
      </c>
      <c r="P24">
        <f ca="1" t="shared" si="12"/>
        <v>515.66</v>
      </c>
      <c r="Q24" t="str">
        <f t="shared" si="1"/>
        <v>货代公司A</v>
      </c>
      <c r="R24" t="str">
        <f ca="1" t="array" ref="R24">IF(B24=B23,R23,INDIRECT("z"&amp;RANDBETWEEN(2,4)))</f>
        <v>陆运</v>
      </c>
      <c r="S24" t="str">
        <f ca="1" t="shared" si="2"/>
        <v>陆10019</v>
      </c>
      <c r="T24" t="str">
        <f ca="1" t="shared" si="0"/>
        <v>青岛</v>
      </c>
      <c r="U24" t="s">
        <v>102</v>
      </c>
      <c r="X24" s="7" t="s">
        <v>103</v>
      </c>
    </row>
    <row r="25" spans="1:24">
      <c r="A25" s="6">
        <v>44075</v>
      </c>
      <c r="B25">
        <v>100023</v>
      </c>
      <c r="C25" t="str">
        <f t="shared" si="3"/>
        <v>唛头20</v>
      </c>
      <c r="D25" t="str">
        <f t="shared" si="4"/>
        <v>发货公司20</v>
      </c>
      <c r="E25" t="str">
        <f t="shared" si="5"/>
        <v>收货公司20</v>
      </c>
      <c r="F25" t="str">
        <f ca="1" t="array" ref="F25">INDIRECT("aa"&amp;RANDBETWEEN(2,19))</f>
        <v>湖北省</v>
      </c>
      <c r="G25" t="s">
        <v>23</v>
      </c>
      <c r="H25" t="str">
        <f ca="1" t="array" ref="H25">IF(B25=B24,H24,INDIRECT("x"&amp;RANDBETWEEN(2,28)))</f>
        <v>洪都拉斯</v>
      </c>
      <c r="I25" t="str">
        <f ca="1" t="array" ref="I25">"货物"&amp;INDIRECT("u"&amp;RANDBETWEEN(2,29))</f>
        <v>货物Q</v>
      </c>
      <c r="J25">
        <f ca="1" t="shared" si="6"/>
        <v>4812</v>
      </c>
      <c r="K25">
        <f ca="1" t="shared" si="7"/>
        <v>49.8</v>
      </c>
      <c r="L25">
        <f ca="1" t="shared" si="8"/>
        <v>239637.6</v>
      </c>
      <c r="M25">
        <f ca="1" t="shared" si="9"/>
        <v>385</v>
      </c>
      <c r="N25">
        <f ca="1" t="shared" si="10"/>
        <v>4330.8</v>
      </c>
      <c r="O25">
        <f ca="1" t="shared" si="11"/>
        <v>3637.872</v>
      </c>
      <c r="P25">
        <f ca="1" t="shared" si="12"/>
        <v>577.5</v>
      </c>
      <c r="Q25" t="str">
        <f t="shared" si="1"/>
        <v>货代公司A</v>
      </c>
      <c r="R25" t="str">
        <f ca="1" t="array" ref="R25">IF(B25=B24,R24,INDIRECT("z"&amp;RANDBETWEEN(2,4)))</f>
        <v>船运</v>
      </c>
      <c r="S25" t="str">
        <f ca="1" t="shared" si="2"/>
        <v>船10020</v>
      </c>
      <c r="T25" t="str">
        <f ca="1" t="shared" si="0"/>
        <v>上海</v>
      </c>
      <c r="U25" t="s">
        <v>104</v>
      </c>
      <c r="X25" t="s">
        <v>105</v>
      </c>
    </row>
    <row r="26" spans="1:24">
      <c r="A26" s="6">
        <v>44075</v>
      </c>
      <c r="B26">
        <v>100024</v>
      </c>
      <c r="C26" t="str">
        <f t="shared" si="3"/>
        <v>唛头21</v>
      </c>
      <c r="D26" t="str">
        <f t="shared" si="4"/>
        <v>发货公司21</v>
      </c>
      <c r="E26" t="str">
        <f t="shared" si="5"/>
        <v>收货公司21</v>
      </c>
      <c r="F26" t="str">
        <f ca="1" t="array" ref="F26">INDIRECT("aa"&amp;RANDBETWEEN(2,19))</f>
        <v>江西省</v>
      </c>
      <c r="G26" t="s">
        <v>23</v>
      </c>
      <c r="H26" t="str">
        <f ca="1" t="array" ref="H26">IF(B26=B25,H25,INDIRECT("x"&amp;RANDBETWEEN(2,28)))</f>
        <v>哈萨克斯坦</v>
      </c>
      <c r="I26" t="str">
        <f ca="1" t="array" ref="I26">"货物"&amp;INDIRECT("u"&amp;RANDBETWEEN(2,29))</f>
        <v>货物W</v>
      </c>
      <c r="J26">
        <f ca="1" t="shared" si="6"/>
        <v>230</v>
      </c>
      <c r="K26">
        <f ca="1" t="shared" si="7"/>
        <v>82.4</v>
      </c>
      <c r="L26">
        <f ca="1" t="shared" si="8"/>
        <v>18952</v>
      </c>
      <c r="M26">
        <f ca="1" t="shared" si="9"/>
        <v>21</v>
      </c>
      <c r="N26">
        <f ca="1" t="shared" si="10"/>
        <v>529</v>
      </c>
      <c r="O26">
        <f ca="1" t="shared" si="11"/>
        <v>423.2</v>
      </c>
      <c r="P26">
        <f ca="1" t="shared" si="12"/>
        <v>38.64</v>
      </c>
      <c r="Q26" t="str">
        <f t="shared" si="1"/>
        <v>货代公司A</v>
      </c>
      <c r="R26" t="str">
        <f ca="1" t="array" ref="R26">IF(B26=B25,R25,INDIRECT("z"&amp;RANDBETWEEN(2,4)))</f>
        <v>船运</v>
      </c>
      <c r="S26" t="str">
        <f ca="1" t="shared" si="2"/>
        <v>船10021</v>
      </c>
      <c r="T26" t="str">
        <f ca="1" t="shared" si="0"/>
        <v>宁波</v>
      </c>
      <c r="U26" t="s">
        <v>106</v>
      </c>
      <c r="X26" t="s">
        <v>107</v>
      </c>
    </row>
    <row r="27" spans="1:24">
      <c r="A27" s="6">
        <v>44075</v>
      </c>
      <c r="B27">
        <v>100025</v>
      </c>
      <c r="C27" t="str">
        <f t="shared" si="3"/>
        <v>唛头22</v>
      </c>
      <c r="D27" t="str">
        <f t="shared" si="4"/>
        <v>发货公司22</v>
      </c>
      <c r="E27" t="str">
        <f t="shared" si="5"/>
        <v>收货公司22</v>
      </c>
      <c r="F27" t="str">
        <f ca="1" t="array" ref="F27">INDIRECT("aa"&amp;RANDBETWEEN(2,19))</f>
        <v>江苏省</v>
      </c>
      <c r="G27" t="s">
        <v>23</v>
      </c>
      <c r="H27" t="str">
        <f ca="1" t="array" ref="H27">IF(B27=B26,H26,INDIRECT("x"&amp;RANDBETWEEN(2,28)))</f>
        <v>印度尼西亚</v>
      </c>
      <c r="I27" t="str">
        <f ca="1" t="array" ref="I27">"货物"&amp;INDIRECT("u"&amp;RANDBETWEEN(2,29))</f>
        <v>货物A</v>
      </c>
      <c r="J27">
        <f ca="1" t="shared" si="6"/>
        <v>2281</v>
      </c>
      <c r="K27">
        <f ca="1" t="shared" si="7"/>
        <v>91.6</v>
      </c>
      <c r="L27">
        <f ca="1" t="shared" si="8"/>
        <v>208939.6</v>
      </c>
      <c r="M27">
        <f ca="1" t="shared" si="9"/>
        <v>319</v>
      </c>
      <c r="N27">
        <f ca="1" t="shared" si="10"/>
        <v>2509.1</v>
      </c>
      <c r="O27">
        <f ca="1" t="shared" si="11"/>
        <v>2082.553</v>
      </c>
      <c r="P27">
        <f ca="1" t="shared" si="12"/>
        <v>555.06</v>
      </c>
      <c r="Q27" t="str">
        <f t="shared" si="1"/>
        <v>货代公司A</v>
      </c>
      <c r="R27" t="str">
        <f ca="1" t="array" ref="R27">IF(B27=B26,R26,INDIRECT("z"&amp;RANDBETWEEN(2,4)))</f>
        <v>陆运</v>
      </c>
      <c r="S27" t="str">
        <f ca="1" t="shared" si="2"/>
        <v>陆10022</v>
      </c>
      <c r="T27" t="str">
        <f ca="1" t="shared" si="0"/>
        <v>宁波</v>
      </c>
      <c r="U27" t="s">
        <v>108</v>
      </c>
      <c r="X27" t="s">
        <v>46</v>
      </c>
    </row>
    <row r="28" spans="1:24">
      <c r="A28" s="6">
        <v>44075</v>
      </c>
      <c r="B28">
        <v>100026</v>
      </c>
      <c r="C28" t="str">
        <f t="shared" si="3"/>
        <v>唛头23</v>
      </c>
      <c r="D28" t="str">
        <f t="shared" si="4"/>
        <v>发货公司23</v>
      </c>
      <c r="E28" t="str">
        <f t="shared" si="5"/>
        <v>收货公司23</v>
      </c>
      <c r="F28" t="str">
        <f ca="1" t="array" ref="F28">INDIRECT("aa"&amp;RANDBETWEEN(2,19))</f>
        <v>吉林省</v>
      </c>
      <c r="G28" t="s">
        <v>23</v>
      </c>
      <c r="H28" t="str">
        <f ca="1" t="array" ref="H28">IF(B28=B27,H27,INDIRECT("x"&amp;RANDBETWEEN(2,28)))</f>
        <v>加拿大</v>
      </c>
      <c r="I28" t="str">
        <f ca="1" t="array" ref="I28">"货物"&amp;INDIRECT("u"&amp;RANDBETWEEN(2,29))</f>
        <v>货物J</v>
      </c>
      <c r="J28">
        <f ca="1" t="shared" si="6"/>
        <v>4843</v>
      </c>
      <c r="K28">
        <f ca="1" t="shared" si="7"/>
        <v>50</v>
      </c>
      <c r="L28">
        <f ca="1" t="shared" si="8"/>
        <v>242150</v>
      </c>
      <c r="M28">
        <f ca="1" t="shared" si="9"/>
        <v>678</v>
      </c>
      <c r="N28">
        <f ca="1" t="shared" si="10"/>
        <v>10654.6</v>
      </c>
      <c r="O28">
        <f ca="1" t="shared" si="11"/>
        <v>9376.048</v>
      </c>
      <c r="P28">
        <f ca="1" t="shared" si="12"/>
        <v>1078.02</v>
      </c>
      <c r="Q28" t="str">
        <f t="shared" si="1"/>
        <v>货代公司A</v>
      </c>
      <c r="R28" t="str">
        <f ca="1" t="array" ref="R28">IF(B28=B27,R27,INDIRECT("z"&amp;RANDBETWEEN(2,4)))</f>
        <v>船运</v>
      </c>
      <c r="S28" t="str">
        <f ca="1" t="shared" si="2"/>
        <v>船10023</v>
      </c>
      <c r="T28" t="str">
        <f ca="1" t="shared" si="0"/>
        <v>天津</v>
      </c>
      <c r="U28" t="s">
        <v>109</v>
      </c>
      <c r="X28" t="s">
        <v>110</v>
      </c>
    </row>
    <row r="29" spans="1:21">
      <c r="A29" s="6">
        <v>44075</v>
      </c>
      <c r="B29">
        <v>100027</v>
      </c>
      <c r="C29" t="str">
        <f t="shared" si="3"/>
        <v>唛头24</v>
      </c>
      <c r="D29" t="str">
        <f t="shared" si="4"/>
        <v>发货公司24</v>
      </c>
      <c r="E29" t="str">
        <f t="shared" si="5"/>
        <v>收货公司24</v>
      </c>
      <c r="F29" t="str">
        <f ca="1" t="array" ref="F29">INDIRECT("aa"&amp;RANDBETWEEN(2,19))</f>
        <v>辽宁省</v>
      </c>
      <c r="G29" t="s">
        <v>23</v>
      </c>
      <c r="H29" t="str">
        <f ca="1" t="array" ref="H29">IF(B29=B28,H28,INDIRECT("x"&amp;RANDBETWEEN(2,28)))</f>
        <v>印度尼西亚</v>
      </c>
      <c r="I29" t="str">
        <f ca="1" t="array" ref="I29">"货物"&amp;INDIRECT("u"&amp;RANDBETWEEN(2,29))</f>
        <v>货物N</v>
      </c>
      <c r="J29">
        <f ca="1" t="shared" si="6"/>
        <v>4028</v>
      </c>
      <c r="K29">
        <f ca="1" t="shared" si="7"/>
        <v>93.3</v>
      </c>
      <c r="L29">
        <f ca="1" t="shared" si="8"/>
        <v>375812.4</v>
      </c>
      <c r="M29">
        <f ca="1" t="shared" si="9"/>
        <v>524</v>
      </c>
      <c r="N29">
        <f ca="1" t="shared" si="10"/>
        <v>10070</v>
      </c>
      <c r="O29">
        <f ca="1" t="shared" si="11"/>
        <v>8156.7</v>
      </c>
      <c r="P29">
        <f ca="1" t="shared" si="12"/>
        <v>854.12</v>
      </c>
      <c r="Q29" t="str">
        <f t="shared" si="1"/>
        <v>货代公司A</v>
      </c>
      <c r="R29" t="str">
        <f ca="1" t="array" ref="R29">IF(B29=B28,R28,INDIRECT("z"&amp;RANDBETWEEN(2,4)))</f>
        <v>船运</v>
      </c>
      <c r="S29" t="str">
        <f ca="1" t="shared" si="2"/>
        <v>船10024</v>
      </c>
      <c r="T29" t="str">
        <f ca="1" t="shared" si="0"/>
        <v>青岛</v>
      </c>
      <c r="U29" t="s">
        <v>111</v>
      </c>
    </row>
    <row r="30" spans="1:20">
      <c r="A30" s="6">
        <v>44075</v>
      </c>
      <c r="B30">
        <v>100028</v>
      </c>
      <c r="C30" t="str">
        <f t="shared" si="3"/>
        <v>唛头25</v>
      </c>
      <c r="D30" t="str">
        <f t="shared" si="4"/>
        <v>发货公司25</v>
      </c>
      <c r="E30" t="str">
        <f t="shared" si="5"/>
        <v>收货公司25</v>
      </c>
      <c r="F30" t="str">
        <f ca="1" t="array" ref="F30">INDIRECT("aa"&amp;RANDBETWEEN(2,19))</f>
        <v>浙江省</v>
      </c>
      <c r="G30" t="s">
        <v>23</v>
      </c>
      <c r="H30" t="str">
        <f ca="1" t="array" ref="H30">IF(B30=B29,H29,INDIRECT("x"&amp;RANDBETWEEN(2,28)))</f>
        <v>菲律宾</v>
      </c>
      <c r="I30" t="str">
        <f ca="1" t="array" ref="I30">"货物"&amp;INDIRECT("u"&amp;RANDBETWEEN(2,29))</f>
        <v>货物Q</v>
      </c>
      <c r="J30">
        <f ca="1" t="shared" si="6"/>
        <v>2068</v>
      </c>
      <c r="K30">
        <f ca="1" t="shared" si="7"/>
        <v>63.7</v>
      </c>
      <c r="L30">
        <f ca="1" t="shared" si="8"/>
        <v>131731.6</v>
      </c>
      <c r="M30">
        <f ca="1" t="shared" si="9"/>
        <v>269</v>
      </c>
      <c r="N30">
        <f ca="1" t="shared" si="10"/>
        <v>2068</v>
      </c>
      <c r="O30">
        <f ca="1" t="shared" si="11"/>
        <v>1840.52</v>
      </c>
      <c r="P30">
        <f ca="1" t="shared" si="12"/>
        <v>403.5</v>
      </c>
      <c r="Q30" t="str">
        <f t="shared" si="1"/>
        <v>货代公司A</v>
      </c>
      <c r="R30" t="str">
        <f ca="1" t="array" ref="R30">IF(B30=B29,R29,INDIRECT("z"&amp;RANDBETWEEN(2,4)))</f>
        <v>船运</v>
      </c>
      <c r="S30" t="str">
        <f ca="1" t="shared" si="2"/>
        <v>船10025</v>
      </c>
      <c r="T30" t="str">
        <f ca="1" t="shared" si="0"/>
        <v>上海</v>
      </c>
    </row>
    <row r="31" spans="1:20">
      <c r="A31" s="6">
        <v>44075</v>
      </c>
      <c r="B31">
        <v>100029</v>
      </c>
      <c r="C31" t="str">
        <f t="shared" si="3"/>
        <v>唛头26</v>
      </c>
      <c r="D31" t="str">
        <f t="shared" si="4"/>
        <v>发货公司26</v>
      </c>
      <c r="E31" t="str">
        <f t="shared" si="5"/>
        <v>收货公司26</v>
      </c>
      <c r="F31" t="str">
        <f ca="1" t="array" ref="F31">INDIRECT("aa"&amp;RANDBETWEEN(2,19))</f>
        <v>广东省</v>
      </c>
      <c r="G31" t="s">
        <v>23</v>
      </c>
      <c r="H31" t="str">
        <f ca="1" t="array" ref="H31">IF(B31=B30,H30,INDIRECT("x"&amp;RANDBETWEEN(2,28)))</f>
        <v>韩国</v>
      </c>
      <c r="I31" t="str">
        <f ca="1" t="array" ref="I31">"货物"&amp;INDIRECT("u"&amp;RANDBETWEEN(2,29))</f>
        <v>货物Y</v>
      </c>
      <c r="J31">
        <f ca="1" t="shared" si="6"/>
        <v>1978</v>
      </c>
      <c r="K31">
        <f ca="1" t="shared" si="7"/>
        <v>43.8</v>
      </c>
      <c r="L31">
        <f ca="1" t="shared" si="8"/>
        <v>86636.4</v>
      </c>
      <c r="M31">
        <f ca="1" t="shared" si="9"/>
        <v>138</v>
      </c>
      <c r="N31">
        <f ca="1" t="shared" si="10"/>
        <v>6329.6</v>
      </c>
      <c r="O31">
        <f ca="1" t="shared" si="11"/>
        <v>5443.456</v>
      </c>
      <c r="P31">
        <f ca="1" t="shared" si="12"/>
        <v>200.1</v>
      </c>
      <c r="Q31" t="str">
        <f t="shared" si="1"/>
        <v>货代公司A</v>
      </c>
      <c r="R31" t="str">
        <f ca="1" t="array" ref="R31">IF(B31=B30,R30,INDIRECT("z"&amp;RANDBETWEEN(2,4)))</f>
        <v>空运</v>
      </c>
      <c r="S31" t="str">
        <f ca="1" t="shared" si="2"/>
        <v>空10026</v>
      </c>
      <c r="T31" t="str">
        <f ca="1" t="shared" si="0"/>
        <v>广州</v>
      </c>
    </row>
    <row r="32" spans="1:20">
      <c r="A32" s="6">
        <v>44075</v>
      </c>
      <c r="B32">
        <v>100029</v>
      </c>
      <c r="C32" t="str">
        <f t="shared" si="3"/>
        <v>唛头26</v>
      </c>
      <c r="D32" t="str">
        <f t="shared" si="4"/>
        <v>发货公司26</v>
      </c>
      <c r="E32" t="str">
        <f t="shared" si="5"/>
        <v>收货公司26</v>
      </c>
      <c r="F32" t="str">
        <f ca="1" t="array" ref="F32">INDIRECT("aa"&amp;RANDBETWEEN(2,19))</f>
        <v>黑龙江省</v>
      </c>
      <c r="G32" t="s">
        <v>23</v>
      </c>
      <c r="H32" t="str">
        <f ca="1" t="array" ref="H32">IF(B32=B31,H31,INDIRECT("x"&amp;RANDBETWEEN(2,28)))</f>
        <v>韩国</v>
      </c>
      <c r="I32" t="str">
        <f ca="1" t="array" ref="I32">"货物"&amp;INDIRECT("u"&amp;RANDBETWEEN(2,29))</f>
        <v>货物B</v>
      </c>
      <c r="J32">
        <f ca="1" t="shared" si="6"/>
        <v>4560</v>
      </c>
      <c r="K32">
        <f ca="1" t="shared" si="7"/>
        <v>80.4</v>
      </c>
      <c r="L32">
        <f ca="1" t="shared" si="8"/>
        <v>366624</v>
      </c>
      <c r="M32">
        <f ca="1" t="shared" si="9"/>
        <v>365</v>
      </c>
      <c r="N32">
        <f ca="1" t="shared" si="10"/>
        <v>13224</v>
      </c>
      <c r="O32">
        <f ca="1" t="shared" si="11"/>
        <v>11108.16</v>
      </c>
      <c r="P32">
        <f ca="1" t="shared" si="12"/>
        <v>295.65</v>
      </c>
      <c r="Q32" t="str">
        <f t="shared" si="1"/>
        <v>货代公司A</v>
      </c>
      <c r="R32" t="str">
        <f ca="1" t="array" ref="R32">IF(B32=B31,R31,INDIRECT("z"&amp;RANDBETWEEN(2,4)))</f>
        <v>空运</v>
      </c>
      <c r="S32" t="str">
        <f ca="1" t="shared" si="2"/>
        <v>空10026</v>
      </c>
      <c r="T32" t="str">
        <f ca="1" t="shared" si="0"/>
        <v>青岛</v>
      </c>
    </row>
    <row r="33" spans="1:20">
      <c r="A33" s="6">
        <v>44075</v>
      </c>
      <c r="B33">
        <v>100029</v>
      </c>
      <c r="C33" t="str">
        <f t="shared" si="3"/>
        <v>唛头26</v>
      </c>
      <c r="D33" t="str">
        <f t="shared" si="4"/>
        <v>发货公司26</v>
      </c>
      <c r="E33" t="str">
        <f t="shared" si="5"/>
        <v>收货公司26</v>
      </c>
      <c r="F33" t="str">
        <f ca="1" t="array" ref="F33">INDIRECT("aa"&amp;RANDBETWEEN(2,19))</f>
        <v>安徽省</v>
      </c>
      <c r="G33" t="s">
        <v>23</v>
      </c>
      <c r="H33" t="str">
        <f ca="1" t="array" ref="H33">IF(B33=B32,H32,INDIRECT("x"&amp;RANDBETWEEN(2,28)))</f>
        <v>韩国</v>
      </c>
      <c r="I33" t="str">
        <f ca="1" t="array" ref="I33">"货物"&amp;INDIRECT("u"&amp;RANDBETWEEN(2,29))</f>
        <v>货物B</v>
      </c>
      <c r="J33">
        <f ca="1" t="shared" si="6"/>
        <v>4398</v>
      </c>
      <c r="K33">
        <f ca="1" t="shared" si="7"/>
        <v>14.7</v>
      </c>
      <c r="L33">
        <f ca="1" t="shared" si="8"/>
        <v>64650.6</v>
      </c>
      <c r="M33">
        <f ca="1" t="shared" si="9"/>
        <v>264</v>
      </c>
      <c r="N33">
        <f ca="1" t="shared" si="10"/>
        <v>7916.4</v>
      </c>
      <c r="O33">
        <f ca="1" t="shared" si="11"/>
        <v>6649.776</v>
      </c>
      <c r="P33">
        <f ca="1" t="shared" si="12"/>
        <v>496.32</v>
      </c>
      <c r="Q33" t="str">
        <f t="shared" si="1"/>
        <v>货代公司A</v>
      </c>
      <c r="R33" t="str">
        <f ca="1" t="array" ref="R33">IF(B33=B32,R32,INDIRECT("z"&amp;RANDBETWEEN(2,4)))</f>
        <v>空运</v>
      </c>
      <c r="S33" t="str">
        <f ca="1" t="shared" si="2"/>
        <v>空10026</v>
      </c>
      <c r="T33" t="str">
        <f ca="1" t="shared" si="0"/>
        <v>宁波</v>
      </c>
    </row>
    <row r="34" spans="1:20">
      <c r="A34" s="6">
        <v>44075</v>
      </c>
      <c r="B34">
        <v>100029</v>
      </c>
      <c r="C34" t="str">
        <f t="shared" si="3"/>
        <v>唛头26</v>
      </c>
      <c r="D34" t="str">
        <f t="shared" si="4"/>
        <v>发货公司26</v>
      </c>
      <c r="E34" t="str">
        <f t="shared" si="5"/>
        <v>收货公司26</v>
      </c>
      <c r="F34" t="str">
        <f ca="1" t="array" ref="F34">INDIRECT("aa"&amp;RANDBETWEEN(2,19))</f>
        <v>浙江省</v>
      </c>
      <c r="G34" t="s">
        <v>23</v>
      </c>
      <c r="H34" t="str">
        <f ca="1" t="array" ref="H34">IF(B34=B33,H33,INDIRECT("x"&amp;RANDBETWEEN(2,28)))</f>
        <v>韩国</v>
      </c>
      <c r="I34" t="str">
        <f ca="1" t="array" ref="I34">"货物"&amp;INDIRECT("u"&amp;RANDBETWEEN(2,29))</f>
        <v>货物Q</v>
      </c>
      <c r="J34">
        <f ca="1" t="shared" si="6"/>
        <v>4327</v>
      </c>
      <c r="K34">
        <f ca="1" t="shared" si="7"/>
        <v>46.8</v>
      </c>
      <c r="L34">
        <f ca="1" t="shared" si="8"/>
        <v>202503.6</v>
      </c>
      <c r="M34">
        <f ca="1" t="shared" si="9"/>
        <v>216</v>
      </c>
      <c r="N34">
        <f ca="1" t="shared" si="10"/>
        <v>11682.9</v>
      </c>
      <c r="O34">
        <f ca="1" t="shared" si="11"/>
        <v>9346.32</v>
      </c>
      <c r="P34">
        <f ca="1" t="shared" si="12"/>
        <v>241.92</v>
      </c>
      <c r="Q34" t="str">
        <f t="shared" si="1"/>
        <v>货代公司A</v>
      </c>
      <c r="R34" t="str">
        <f ca="1" t="array" ref="R34">IF(B34=B33,R33,INDIRECT("z"&amp;RANDBETWEEN(2,4)))</f>
        <v>空运</v>
      </c>
      <c r="S34" t="str">
        <f ca="1" t="shared" si="2"/>
        <v>空10026</v>
      </c>
      <c r="T34" t="str">
        <f ca="1" t="shared" si="0"/>
        <v>上海</v>
      </c>
    </row>
    <row r="35" spans="1:20">
      <c r="A35" s="6">
        <v>44075</v>
      </c>
      <c r="B35">
        <v>100033</v>
      </c>
      <c r="C35" t="str">
        <f t="shared" si="3"/>
        <v>唛头27</v>
      </c>
      <c r="D35" t="str">
        <f t="shared" si="4"/>
        <v>发货公司27</v>
      </c>
      <c r="E35" t="str">
        <f t="shared" si="5"/>
        <v>收货公司27</v>
      </c>
      <c r="F35" t="str">
        <f ca="1" t="array" ref="F35">INDIRECT("aa"&amp;RANDBETWEEN(2,19))</f>
        <v>黑龙江省</v>
      </c>
      <c r="G35" t="s">
        <v>23</v>
      </c>
      <c r="H35" t="str">
        <f ca="1" t="array" ref="H35">IF(B35=B34,H34,INDIRECT("x"&amp;RANDBETWEEN(2,28)))</f>
        <v>尼加拉瓜</v>
      </c>
      <c r="I35" t="str">
        <f ca="1" t="array" ref="I35">"货物"&amp;INDIRECT("u"&amp;RANDBETWEEN(2,29))</f>
        <v>货物E</v>
      </c>
      <c r="J35">
        <f ca="1" t="shared" si="6"/>
        <v>1409</v>
      </c>
      <c r="K35">
        <f ca="1" t="shared" si="7"/>
        <v>42.7</v>
      </c>
      <c r="L35">
        <f ca="1" t="shared" si="8"/>
        <v>60164.3</v>
      </c>
      <c r="M35">
        <f ca="1" t="shared" si="9"/>
        <v>183</v>
      </c>
      <c r="N35">
        <f ca="1" t="shared" si="10"/>
        <v>2395.3</v>
      </c>
      <c r="O35">
        <f ca="1" t="shared" si="11"/>
        <v>1964.146</v>
      </c>
      <c r="P35">
        <f ca="1" t="shared" si="12"/>
        <v>214.11</v>
      </c>
      <c r="Q35" t="str">
        <f t="shared" si="1"/>
        <v>货代公司A</v>
      </c>
      <c r="R35" t="str">
        <f ca="1" t="array" ref="R35">IF(B35=B34,R34,INDIRECT("z"&amp;RANDBETWEEN(2,4)))</f>
        <v>空运</v>
      </c>
      <c r="S35" t="str">
        <f ca="1" t="shared" si="2"/>
        <v>空10027</v>
      </c>
      <c r="T35" t="str">
        <f ca="1" t="shared" si="0"/>
        <v>天津</v>
      </c>
    </row>
    <row r="36" spans="1:20">
      <c r="A36" s="6">
        <v>44075</v>
      </c>
      <c r="B36">
        <v>100034</v>
      </c>
      <c r="C36" t="str">
        <f t="shared" si="3"/>
        <v>唛头28</v>
      </c>
      <c r="D36" t="str">
        <f t="shared" si="4"/>
        <v>发货公司28</v>
      </c>
      <c r="E36" t="str">
        <f t="shared" si="5"/>
        <v>收货公司28</v>
      </c>
      <c r="F36" t="str">
        <f ca="1" t="array" ref="F36">INDIRECT("aa"&amp;RANDBETWEEN(2,19))</f>
        <v>河南省</v>
      </c>
      <c r="G36" t="s">
        <v>23</v>
      </c>
      <c r="H36" t="str">
        <f ca="1" t="array" ref="H36">IF(B36=B35,H35,INDIRECT("x"&amp;RANDBETWEEN(2,28)))</f>
        <v>哥斯达黎加</v>
      </c>
      <c r="I36" t="str">
        <f ca="1" t="array" ref="I36">"货物"&amp;INDIRECT("u"&amp;RANDBETWEEN(2,29))</f>
        <v>货物X</v>
      </c>
      <c r="J36">
        <f ca="1" t="shared" si="6"/>
        <v>131</v>
      </c>
      <c r="K36">
        <f ca="1" t="shared" si="7"/>
        <v>76</v>
      </c>
      <c r="L36">
        <f ca="1" t="shared" si="8"/>
        <v>9956</v>
      </c>
      <c r="M36">
        <f ca="1" t="shared" si="9"/>
        <v>12</v>
      </c>
      <c r="N36">
        <f ca="1" t="shared" si="10"/>
        <v>484.7</v>
      </c>
      <c r="O36">
        <f ca="1" t="shared" si="11"/>
        <v>436.23</v>
      </c>
      <c r="P36">
        <f ca="1" t="shared" si="12"/>
        <v>11.64</v>
      </c>
      <c r="Q36" t="str">
        <f t="shared" si="1"/>
        <v>货代公司A</v>
      </c>
      <c r="R36" t="str">
        <f ca="1" t="array" ref="R36">IF(B36=B35,R35,INDIRECT("z"&amp;RANDBETWEEN(2,4)))</f>
        <v>船运</v>
      </c>
      <c r="S36" t="str">
        <f ca="1" t="shared" si="2"/>
        <v>船10028</v>
      </c>
      <c r="T36" t="str">
        <f ca="1" t="shared" si="0"/>
        <v>天津</v>
      </c>
    </row>
    <row r="37" spans="1:20">
      <c r="A37" s="6">
        <v>44075</v>
      </c>
      <c r="B37">
        <v>100035</v>
      </c>
      <c r="C37" t="str">
        <f t="shared" si="3"/>
        <v>唛头29</v>
      </c>
      <c r="D37" t="str">
        <f t="shared" si="4"/>
        <v>发货公司29</v>
      </c>
      <c r="E37" t="str">
        <f t="shared" si="5"/>
        <v>收货公司29</v>
      </c>
      <c r="F37" t="str">
        <f ca="1" t="array" ref="F37">INDIRECT("aa"&amp;RANDBETWEEN(2,19))</f>
        <v>贵州省</v>
      </c>
      <c r="G37" t="s">
        <v>23</v>
      </c>
      <c r="H37" t="str">
        <f ca="1" t="array" ref="H37">IF(B37=B36,H36,INDIRECT("x"&amp;RANDBETWEEN(2,28)))</f>
        <v>越南</v>
      </c>
      <c r="I37" t="str">
        <f ca="1" t="array" ref="I37">"货物"&amp;INDIRECT("u"&amp;RANDBETWEEN(2,29))</f>
        <v>货物A</v>
      </c>
      <c r="J37">
        <f ca="1" t="shared" si="6"/>
        <v>2066</v>
      </c>
      <c r="K37">
        <f ca="1" t="shared" si="7"/>
        <v>8.8</v>
      </c>
      <c r="L37">
        <f ca="1" t="shared" si="8"/>
        <v>18180.8</v>
      </c>
      <c r="M37">
        <f ca="1" t="shared" si="9"/>
        <v>103</v>
      </c>
      <c r="N37">
        <f ca="1" t="shared" si="10"/>
        <v>7231</v>
      </c>
      <c r="O37">
        <f ca="1" t="shared" si="11"/>
        <v>6507.9</v>
      </c>
      <c r="P37">
        <f ca="1" t="shared" si="12"/>
        <v>163.77</v>
      </c>
      <c r="Q37" t="str">
        <f t="shared" si="1"/>
        <v>货代公司A</v>
      </c>
      <c r="R37" t="str">
        <f ca="1" t="array" ref="R37">IF(B37=B36,R36,INDIRECT("z"&amp;RANDBETWEEN(2,4)))</f>
        <v>空运</v>
      </c>
      <c r="S37" t="str">
        <f ca="1" t="shared" si="2"/>
        <v>空10029</v>
      </c>
      <c r="T37" t="str">
        <f ca="1" t="shared" si="0"/>
        <v>广州</v>
      </c>
    </row>
    <row r="38" spans="1:20">
      <c r="A38" s="6">
        <v>44075</v>
      </c>
      <c r="B38">
        <v>100036</v>
      </c>
      <c r="C38" t="str">
        <f t="shared" si="3"/>
        <v>唛头30</v>
      </c>
      <c r="D38" t="str">
        <f t="shared" si="4"/>
        <v>发货公司30</v>
      </c>
      <c r="E38" t="str">
        <f t="shared" si="5"/>
        <v>收货公司30</v>
      </c>
      <c r="F38" t="str">
        <f ca="1" t="array" ref="F38">INDIRECT("aa"&amp;RANDBETWEEN(2,19))</f>
        <v>河北省</v>
      </c>
      <c r="G38" t="s">
        <v>23</v>
      </c>
      <c r="H38" t="str">
        <f ca="1" t="array" ref="H38">IF(B38=B37,H37,INDIRECT("x"&amp;RANDBETWEEN(2,28)))</f>
        <v>韩国</v>
      </c>
      <c r="I38" t="str">
        <f ca="1" t="array" ref="I38">"货物"&amp;INDIRECT("u"&amp;RANDBETWEEN(2,29))</f>
        <v>货物U</v>
      </c>
      <c r="J38">
        <f ca="1" t="shared" si="6"/>
        <v>3898</v>
      </c>
      <c r="K38">
        <f ca="1" t="shared" si="7"/>
        <v>96.7</v>
      </c>
      <c r="L38">
        <f ca="1" t="shared" si="8"/>
        <v>376936.6</v>
      </c>
      <c r="M38">
        <f ca="1" t="shared" si="9"/>
        <v>195</v>
      </c>
      <c r="N38">
        <f ca="1" t="shared" si="10"/>
        <v>1559.2</v>
      </c>
      <c r="O38">
        <f ca="1" t="shared" si="11"/>
        <v>1325.32</v>
      </c>
      <c r="P38">
        <f ca="1" t="shared" si="12"/>
        <v>312</v>
      </c>
      <c r="Q38" t="str">
        <f t="shared" si="1"/>
        <v>货代公司A</v>
      </c>
      <c r="R38" t="str">
        <f ca="1" t="array" ref="R38">IF(B38=B37,R37,INDIRECT("z"&amp;RANDBETWEEN(2,4)))</f>
        <v>空运</v>
      </c>
      <c r="S38" t="str">
        <f ca="1" t="shared" si="2"/>
        <v>空10030</v>
      </c>
      <c r="T38" t="str">
        <f ca="1" t="shared" si="0"/>
        <v>青岛</v>
      </c>
    </row>
    <row r="39" spans="1:20">
      <c r="A39" s="6">
        <v>44075</v>
      </c>
      <c r="B39">
        <v>100037</v>
      </c>
      <c r="C39" t="str">
        <f t="shared" ref="C39:C70" si="13">IF(B39=B38,C38,"唛头"&amp;MID(C38,3,LEN(C38)-2)+1)</f>
        <v>唛头31</v>
      </c>
      <c r="D39" t="str">
        <f t="shared" ref="D39:D70" si="14">IF(B39=B38,D38,"发货公司"&amp;MID(D38,5,LEN(D38)-4)+1)</f>
        <v>发货公司31</v>
      </c>
      <c r="E39" t="str">
        <f t="shared" ref="E39:E70" si="15">IF(B39=B38,E38,"收货公司"&amp;MID(E38,5,LEN(E38)-4)+1)</f>
        <v>收货公司31</v>
      </c>
      <c r="F39" t="str">
        <f ca="1" t="array" ref="F39">INDIRECT("aa"&amp;RANDBETWEEN(2,19))</f>
        <v>江西省</v>
      </c>
      <c r="G39" t="s">
        <v>23</v>
      </c>
      <c r="H39" t="str">
        <f ca="1" t="array" ref="H39">IF(B39=B38,H38,INDIRECT("x"&amp;RANDBETWEEN(2,28)))</f>
        <v>哈萨克斯坦</v>
      </c>
      <c r="I39" t="str">
        <f ca="1" t="array" ref="I39">"货物"&amp;INDIRECT("u"&amp;RANDBETWEEN(2,29))</f>
        <v>货物H</v>
      </c>
      <c r="J39">
        <f ca="1" t="shared" si="6"/>
        <v>623</v>
      </c>
      <c r="K39">
        <f ca="1" t="shared" si="7"/>
        <v>80.2</v>
      </c>
      <c r="L39">
        <f ca="1" t="shared" ref="L39:L70" si="16">J39*K39</f>
        <v>49964.6</v>
      </c>
      <c r="M39">
        <f ca="1" t="shared" ref="M39:M70" si="17">ROUND(J39-J39*(RANDBETWEEN(85,95)/100),0)</f>
        <v>69</v>
      </c>
      <c r="N39">
        <f ca="1" t="shared" ref="N39:N70" si="18">J39+J39*(RANDBETWEEN(-10,30)/10)</f>
        <v>62.3</v>
      </c>
      <c r="O39">
        <f ca="1" t="shared" ref="O39:O70" si="19">N39*(RANDBETWEEN(80,90)/100)</f>
        <v>51.709</v>
      </c>
      <c r="P39">
        <f ca="1" t="shared" ref="P39:P70" si="20">M39*(RANDBETWEEN(80,200)/100)</f>
        <v>134.55</v>
      </c>
      <c r="Q39" t="str">
        <f t="shared" si="1"/>
        <v>货代公司A</v>
      </c>
      <c r="R39" t="str">
        <f ca="1" t="array" ref="R39">IF(B39=B38,R38,INDIRECT("z"&amp;RANDBETWEEN(2,4)))</f>
        <v>陆运</v>
      </c>
      <c r="S39" t="str">
        <f ca="1" t="shared" ref="S39:S70" si="21">IF(B39=B38,S38,LEFT(R39,1)&amp;MID(S38,2,LEN(S38)-1)+1)</f>
        <v>陆10031</v>
      </c>
      <c r="T39" t="str">
        <f ca="1" t="shared" ref="T39:T70" si="22">VLOOKUP(F39,$AA$2:$AC$19,RANDBETWEEN(2,3),FALSE)</f>
        <v>宁波</v>
      </c>
    </row>
    <row r="40" spans="1:20">
      <c r="A40" s="6">
        <v>44075</v>
      </c>
      <c r="B40">
        <v>100038</v>
      </c>
      <c r="C40" t="str">
        <f t="shared" si="13"/>
        <v>唛头32</v>
      </c>
      <c r="D40" t="str">
        <f t="shared" si="14"/>
        <v>发货公司32</v>
      </c>
      <c r="E40" t="str">
        <f t="shared" si="15"/>
        <v>收货公司32</v>
      </c>
      <c r="F40" t="str">
        <f ca="1" t="array" ref="F40">INDIRECT("aa"&amp;RANDBETWEEN(2,19))</f>
        <v>湖北省</v>
      </c>
      <c r="G40" t="s">
        <v>23</v>
      </c>
      <c r="H40" t="str">
        <f ca="1" t="array" ref="H40">IF(B40=B39,H39,INDIRECT("x"&amp;RANDBETWEEN(2,28)))</f>
        <v>波兰</v>
      </c>
      <c r="I40" t="str">
        <f ca="1" t="array" ref="I40">"货物"&amp;INDIRECT("u"&amp;RANDBETWEEN(2,29))</f>
        <v>货物Y</v>
      </c>
      <c r="J40">
        <f ca="1" t="shared" si="6"/>
        <v>4104</v>
      </c>
      <c r="K40">
        <f ca="1" t="shared" si="7"/>
        <v>90.6</v>
      </c>
      <c r="L40">
        <f ca="1" t="shared" si="16"/>
        <v>371822.4</v>
      </c>
      <c r="M40">
        <f ca="1" t="shared" si="17"/>
        <v>287</v>
      </c>
      <c r="N40">
        <f ca="1" t="shared" si="18"/>
        <v>5745.6</v>
      </c>
      <c r="O40">
        <f ca="1" t="shared" si="19"/>
        <v>4998.672</v>
      </c>
      <c r="P40">
        <f ca="1" t="shared" si="20"/>
        <v>367.36</v>
      </c>
      <c r="Q40" t="str">
        <f t="shared" si="1"/>
        <v>货代公司A</v>
      </c>
      <c r="R40" t="str">
        <f ca="1" t="array" ref="R40">IF(B40=B39,R39,INDIRECT("z"&amp;RANDBETWEEN(2,4)))</f>
        <v>船运</v>
      </c>
      <c r="S40" t="str">
        <f ca="1" t="shared" si="21"/>
        <v>船10032</v>
      </c>
      <c r="T40" t="str">
        <f ca="1" t="shared" si="22"/>
        <v>上海</v>
      </c>
    </row>
    <row r="41" spans="1:20">
      <c r="A41" s="6">
        <v>44075</v>
      </c>
      <c r="B41">
        <v>100039</v>
      </c>
      <c r="C41" t="str">
        <f t="shared" si="13"/>
        <v>唛头33</v>
      </c>
      <c r="D41" t="str">
        <f t="shared" si="14"/>
        <v>发货公司33</v>
      </c>
      <c r="E41" t="str">
        <f t="shared" si="15"/>
        <v>收货公司33</v>
      </c>
      <c r="F41" t="str">
        <f ca="1" t="array" ref="F41">INDIRECT("aa"&amp;RANDBETWEEN(2,19))</f>
        <v>四川省</v>
      </c>
      <c r="G41" t="s">
        <v>23</v>
      </c>
      <c r="H41" t="str">
        <f ca="1" t="array" ref="H41">IF(B41=B40,H40,INDIRECT("x"&amp;RANDBETWEEN(2,28)))</f>
        <v>新加坡</v>
      </c>
      <c r="I41" t="str">
        <f ca="1" t="array" ref="I41">"货物"&amp;INDIRECT("u"&amp;RANDBETWEEN(2,29))</f>
        <v>货物I</v>
      </c>
      <c r="J41">
        <f ca="1" t="shared" si="6"/>
        <v>3168</v>
      </c>
      <c r="K41">
        <f ca="1" t="shared" si="7"/>
        <v>96.1</v>
      </c>
      <c r="L41">
        <f ca="1" t="shared" si="16"/>
        <v>304444.8</v>
      </c>
      <c r="M41">
        <f ca="1" t="shared" si="17"/>
        <v>412</v>
      </c>
      <c r="N41">
        <f ca="1" t="shared" si="18"/>
        <v>7603.2</v>
      </c>
      <c r="O41">
        <f ca="1" t="shared" si="19"/>
        <v>6386.688</v>
      </c>
      <c r="P41">
        <f ca="1" t="shared" si="20"/>
        <v>618</v>
      </c>
      <c r="Q41" t="str">
        <f t="shared" si="1"/>
        <v>货代公司A</v>
      </c>
      <c r="R41" t="str">
        <f ca="1" t="array" ref="R41">IF(B41=B40,R40,INDIRECT("z"&amp;RANDBETWEEN(2,4)))</f>
        <v>船运</v>
      </c>
      <c r="S41" t="str">
        <f ca="1" t="shared" si="21"/>
        <v>船10033</v>
      </c>
      <c r="T41" t="str">
        <f ca="1" t="shared" si="22"/>
        <v>天津</v>
      </c>
    </row>
    <row r="42" spans="1:20">
      <c r="A42" s="6">
        <v>44075</v>
      </c>
      <c r="B42">
        <v>100039</v>
      </c>
      <c r="C42" t="str">
        <f t="shared" si="13"/>
        <v>唛头33</v>
      </c>
      <c r="D42" t="str">
        <f t="shared" si="14"/>
        <v>发货公司33</v>
      </c>
      <c r="E42" t="str">
        <f t="shared" si="15"/>
        <v>收货公司33</v>
      </c>
      <c r="F42" t="str">
        <f ca="1" t="array" ref="F42">INDIRECT("aa"&amp;RANDBETWEEN(2,19))</f>
        <v>福建省</v>
      </c>
      <c r="G42" t="s">
        <v>23</v>
      </c>
      <c r="H42" t="str">
        <f ca="1" t="array" ref="H42">IF(B42=B41,H41,INDIRECT("x"&amp;RANDBETWEEN(2,28)))</f>
        <v>新加坡</v>
      </c>
      <c r="I42" t="str">
        <f ca="1" t="array" ref="I42">"货物"&amp;INDIRECT("u"&amp;RANDBETWEEN(2,29))</f>
        <v>货物A</v>
      </c>
      <c r="J42">
        <f ca="1" t="shared" si="6"/>
        <v>947</v>
      </c>
      <c r="K42">
        <f ca="1" t="shared" si="7"/>
        <v>52.6</v>
      </c>
      <c r="L42">
        <f ca="1" t="shared" si="16"/>
        <v>49812.2</v>
      </c>
      <c r="M42">
        <f ca="1" t="shared" si="17"/>
        <v>47</v>
      </c>
      <c r="N42">
        <f ca="1" t="shared" si="18"/>
        <v>2556.9</v>
      </c>
      <c r="O42">
        <f ca="1" t="shared" si="19"/>
        <v>2224.503</v>
      </c>
      <c r="P42">
        <f ca="1" t="shared" si="20"/>
        <v>41.36</v>
      </c>
      <c r="Q42" t="str">
        <f t="shared" si="1"/>
        <v>货代公司A</v>
      </c>
      <c r="R42" t="str">
        <f ca="1" t="array" ref="R42">IF(B42=B41,R41,INDIRECT("z"&amp;RANDBETWEEN(2,4)))</f>
        <v>船运</v>
      </c>
      <c r="S42" t="str">
        <f ca="1" t="shared" si="21"/>
        <v>船10033</v>
      </c>
      <c r="T42" t="str">
        <f ca="1" t="shared" si="22"/>
        <v>厦门</v>
      </c>
    </row>
    <row r="43" spans="1:20">
      <c r="A43" s="6">
        <v>44075</v>
      </c>
      <c r="B43">
        <v>100041</v>
      </c>
      <c r="C43" t="str">
        <f t="shared" si="13"/>
        <v>唛头34</v>
      </c>
      <c r="D43" t="str">
        <f t="shared" si="14"/>
        <v>发货公司34</v>
      </c>
      <c r="E43" t="str">
        <f t="shared" si="15"/>
        <v>收货公司34</v>
      </c>
      <c r="F43" t="str">
        <f ca="1" t="array" ref="F43">INDIRECT("aa"&amp;RANDBETWEEN(2,19))</f>
        <v>辽宁省</v>
      </c>
      <c r="G43" t="s">
        <v>23</v>
      </c>
      <c r="H43" t="str">
        <f ca="1" t="array" ref="H43">IF(B43=B42,H42,INDIRECT("x"&amp;RANDBETWEEN(2,28)))</f>
        <v>日本</v>
      </c>
      <c r="I43" t="str">
        <f ca="1" t="array" ref="I43">"货物"&amp;INDIRECT("u"&amp;RANDBETWEEN(2,29))</f>
        <v>货物R</v>
      </c>
      <c r="J43">
        <f ca="1" t="shared" si="6"/>
        <v>145</v>
      </c>
      <c r="K43">
        <f ca="1" t="shared" si="7"/>
        <v>16.4</v>
      </c>
      <c r="L43">
        <f ca="1" t="shared" si="16"/>
        <v>2378</v>
      </c>
      <c r="M43">
        <f ca="1" t="shared" si="17"/>
        <v>10</v>
      </c>
      <c r="N43">
        <f ca="1" t="shared" si="18"/>
        <v>348</v>
      </c>
      <c r="O43">
        <f ca="1" t="shared" si="19"/>
        <v>313.2</v>
      </c>
      <c r="P43">
        <f ca="1" t="shared" si="20"/>
        <v>16.8</v>
      </c>
      <c r="Q43" t="str">
        <f t="shared" si="1"/>
        <v>货代公司A</v>
      </c>
      <c r="R43" t="str">
        <f ca="1" t="array" ref="R43">IF(B43=B42,R42,INDIRECT("z"&amp;RANDBETWEEN(2,4)))</f>
        <v>陆运</v>
      </c>
      <c r="S43" t="str">
        <f ca="1" t="shared" si="21"/>
        <v>陆10034</v>
      </c>
      <c r="T43" t="str">
        <f ca="1" t="shared" si="22"/>
        <v>天津</v>
      </c>
    </row>
    <row r="44" spans="1:20">
      <c r="A44" s="6">
        <v>44075</v>
      </c>
      <c r="B44">
        <v>100042</v>
      </c>
      <c r="C44" t="str">
        <f t="shared" si="13"/>
        <v>唛头35</v>
      </c>
      <c r="D44" t="str">
        <f t="shared" si="14"/>
        <v>发货公司35</v>
      </c>
      <c r="E44" t="str">
        <f t="shared" si="15"/>
        <v>收货公司35</v>
      </c>
      <c r="F44" t="str">
        <f ca="1" t="array" ref="F44">INDIRECT("aa"&amp;RANDBETWEEN(2,19))</f>
        <v>贵州省</v>
      </c>
      <c r="G44" t="s">
        <v>23</v>
      </c>
      <c r="H44" t="str">
        <f ca="1" t="array" ref="H44">IF(B44=B43,H43,INDIRECT("x"&amp;RANDBETWEEN(2,28)))</f>
        <v>日本</v>
      </c>
      <c r="I44" t="str">
        <f ca="1" t="array" ref="I44">"货物"&amp;INDIRECT("u"&amp;RANDBETWEEN(2,29))</f>
        <v>货物S</v>
      </c>
      <c r="J44">
        <f ca="1" t="shared" si="6"/>
        <v>2300</v>
      </c>
      <c r="K44">
        <f ca="1" t="shared" si="7"/>
        <v>84.8</v>
      </c>
      <c r="L44">
        <f ca="1" t="shared" si="16"/>
        <v>195040</v>
      </c>
      <c r="M44">
        <f ca="1" t="shared" si="17"/>
        <v>207</v>
      </c>
      <c r="N44">
        <f ca="1" t="shared" si="18"/>
        <v>690</v>
      </c>
      <c r="O44">
        <f ca="1" t="shared" si="19"/>
        <v>614.1</v>
      </c>
      <c r="P44">
        <f ca="1" t="shared" si="20"/>
        <v>271.17</v>
      </c>
      <c r="Q44" t="str">
        <f t="shared" si="1"/>
        <v>货代公司A</v>
      </c>
      <c r="R44" t="str">
        <f ca="1" t="array" ref="R44">IF(B44=B43,R43,INDIRECT("z"&amp;RANDBETWEEN(2,4)))</f>
        <v>空运</v>
      </c>
      <c r="S44" t="str">
        <f ca="1" t="shared" si="21"/>
        <v>空10035</v>
      </c>
      <c r="T44" t="str">
        <f ca="1" t="shared" si="22"/>
        <v>佛山</v>
      </c>
    </row>
    <row r="45" spans="1:20">
      <c r="A45" s="6">
        <v>44075</v>
      </c>
      <c r="B45">
        <v>100043</v>
      </c>
      <c r="C45" t="str">
        <f t="shared" si="13"/>
        <v>唛头36</v>
      </c>
      <c r="D45" t="str">
        <f t="shared" si="14"/>
        <v>发货公司36</v>
      </c>
      <c r="E45" t="str">
        <f t="shared" si="15"/>
        <v>收货公司36</v>
      </c>
      <c r="F45" t="str">
        <f ca="1" t="array" ref="F45">INDIRECT("aa"&amp;RANDBETWEEN(2,19))</f>
        <v>湖北省</v>
      </c>
      <c r="G45" t="s">
        <v>23</v>
      </c>
      <c r="H45" t="str">
        <f ca="1" t="array" ref="H45">IF(B45=B44,H44,INDIRECT("x"&amp;RANDBETWEEN(2,28)))</f>
        <v>吉尔吉斯斯坦</v>
      </c>
      <c r="I45" t="str">
        <f ca="1" t="array" ref="I45">"货物"&amp;INDIRECT("u"&amp;RANDBETWEEN(2,29))</f>
        <v>货物Q</v>
      </c>
      <c r="J45">
        <f ca="1" t="shared" si="6"/>
        <v>2308</v>
      </c>
      <c r="K45">
        <f ca="1" t="shared" si="7"/>
        <v>23.6</v>
      </c>
      <c r="L45">
        <f ca="1" t="shared" si="16"/>
        <v>54468.8</v>
      </c>
      <c r="M45">
        <f ca="1" t="shared" si="17"/>
        <v>231</v>
      </c>
      <c r="N45">
        <f ca="1" t="shared" si="18"/>
        <v>1615.6</v>
      </c>
      <c r="O45">
        <f ca="1" t="shared" si="19"/>
        <v>1389.416</v>
      </c>
      <c r="P45">
        <f ca="1" t="shared" si="20"/>
        <v>450.45</v>
      </c>
      <c r="Q45" t="str">
        <f t="shared" si="1"/>
        <v>货代公司A</v>
      </c>
      <c r="R45" t="str">
        <f ca="1" t="array" ref="R45">IF(B45=B44,R44,INDIRECT("z"&amp;RANDBETWEEN(2,4)))</f>
        <v>船运</v>
      </c>
      <c r="S45" t="str">
        <f ca="1" t="shared" si="21"/>
        <v>船10036</v>
      </c>
      <c r="T45" t="str">
        <f ca="1" t="shared" si="22"/>
        <v>天津</v>
      </c>
    </row>
    <row r="46" spans="1:20">
      <c r="A46" s="6">
        <v>44075</v>
      </c>
      <c r="B46">
        <v>100044</v>
      </c>
      <c r="C46" t="str">
        <f t="shared" si="13"/>
        <v>唛头37</v>
      </c>
      <c r="D46" t="str">
        <f t="shared" si="14"/>
        <v>发货公司37</v>
      </c>
      <c r="E46" t="str">
        <f t="shared" si="15"/>
        <v>收货公司37</v>
      </c>
      <c r="F46" t="str">
        <f ca="1" t="array" ref="F46">INDIRECT("aa"&amp;RANDBETWEEN(2,19))</f>
        <v>安徽省</v>
      </c>
      <c r="G46" t="s">
        <v>23</v>
      </c>
      <c r="H46" t="str">
        <f ca="1" t="array" ref="H46">IF(B46=B45,H45,INDIRECT("x"&amp;RANDBETWEEN(2,28)))</f>
        <v>泰国</v>
      </c>
      <c r="I46" t="str">
        <f ca="1" t="array" ref="I46">"货物"&amp;INDIRECT("u"&amp;RANDBETWEEN(2,29))</f>
        <v>货物V</v>
      </c>
      <c r="J46">
        <f ca="1" t="shared" si="6"/>
        <v>257</v>
      </c>
      <c r="K46">
        <f ca="1" t="shared" si="7"/>
        <v>25.1</v>
      </c>
      <c r="L46">
        <f ca="1" t="shared" si="16"/>
        <v>6450.7</v>
      </c>
      <c r="M46">
        <f ca="1" t="shared" si="17"/>
        <v>23</v>
      </c>
      <c r="N46">
        <f ca="1" t="shared" si="18"/>
        <v>282.7</v>
      </c>
      <c r="O46">
        <f ca="1" t="shared" si="19"/>
        <v>231.814</v>
      </c>
      <c r="P46">
        <f ca="1" t="shared" si="20"/>
        <v>25.07</v>
      </c>
      <c r="Q46" t="str">
        <f t="shared" si="1"/>
        <v>货代公司A</v>
      </c>
      <c r="R46" t="str">
        <f ca="1" t="array" ref="R46">IF(B46=B45,R45,INDIRECT("z"&amp;RANDBETWEEN(2,4)))</f>
        <v>陆运</v>
      </c>
      <c r="S46" t="str">
        <f ca="1" t="shared" si="21"/>
        <v>陆10037</v>
      </c>
      <c r="T46" t="str">
        <f ca="1" t="shared" si="22"/>
        <v>宁波</v>
      </c>
    </row>
    <row r="47" spans="1:20">
      <c r="A47" s="6">
        <v>44075</v>
      </c>
      <c r="B47">
        <v>100045</v>
      </c>
      <c r="C47" t="str">
        <f t="shared" si="13"/>
        <v>唛头38</v>
      </c>
      <c r="D47" t="str">
        <f t="shared" si="14"/>
        <v>发货公司38</v>
      </c>
      <c r="E47" t="str">
        <f t="shared" si="15"/>
        <v>收货公司38</v>
      </c>
      <c r="F47" t="str">
        <f ca="1" t="array" ref="F47">INDIRECT("aa"&amp;RANDBETWEEN(2,19))</f>
        <v>辽宁省</v>
      </c>
      <c r="G47" t="s">
        <v>23</v>
      </c>
      <c r="H47" t="str">
        <f ca="1" t="array" ref="H47">IF(B47=B46,H46,INDIRECT("x"&amp;RANDBETWEEN(2,28)))</f>
        <v>越南</v>
      </c>
      <c r="I47" t="str">
        <f ca="1" t="array" ref="I47">"货物"&amp;INDIRECT("u"&amp;RANDBETWEEN(2,29))</f>
        <v>货物E</v>
      </c>
      <c r="J47">
        <f ca="1" t="shared" si="6"/>
        <v>1384</v>
      </c>
      <c r="K47">
        <f ca="1" t="shared" si="7"/>
        <v>97.8</v>
      </c>
      <c r="L47">
        <f ca="1" t="shared" si="16"/>
        <v>135355.2</v>
      </c>
      <c r="M47">
        <f ca="1" t="shared" si="17"/>
        <v>125</v>
      </c>
      <c r="N47">
        <f ca="1" t="shared" si="18"/>
        <v>4982.4</v>
      </c>
      <c r="O47">
        <f ca="1" t="shared" si="19"/>
        <v>4384.512</v>
      </c>
      <c r="P47">
        <f ca="1" t="shared" si="20"/>
        <v>211.25</v>
      </c>
      <c r="Q47" t="str">
        <f t="shared" si="1"/>
        <v>货代公司A</v>
      </c>
      <c r="R47" t="str">
        <f ca="1" t="array" ref="R47">IF(B47=B46,R46,INDIRECT("z"&amp;RANDBETWEEN(2,4)))</f>
        <v>陆运</v>
      </c>
      <c r="S47" t="str">
        <f ca="1" t="shared" si="21"/>
        <v>陆10038</v>
      </c>
      <c r="T47" t="str">
        <f ca="1" t="shared" si="22"/>
        <v>青岛</v>
      </c>
    </row>
    <row r="48" spans="1:20">
      <c r="A48" s="6">
        <v>44075</v>
      </c>
      <c r="B48">
        <v>100045</v>
      </c>
      <c r="C48" t="str">
        <f t="shared" si="13"/>
        <v>唛头38</v>
      </c>
      <c r="D48" t="str">
        <f t="shared" si="14"/>
        <v>发货公司38</v>
      </c>
      <c r="E48" t="str">
        <f t="shared" si="15"/>
        <v>收货公司38</v>
      </c>
      <c r="F48" t="str">
        <f ca="1" t="array" ref="F48">INDIRECT("aa"&amp;RANDBETWEEN(2,19))</f>
        <v>安徽省</v>
      </c>
      <c r="G48" t="s">
        <v>23</v>
      </c>
      <c r="H48" t="str">
        <f ca="1" t="array" ref="H48">IF(B48=B47,H47,INDIRECT("x"&amp;RANDBETWEEN(2,28)))</f>
        <v>越南</v>
      </c>
      <c r="I48" t="str">
        <f ca="1" t="array" ref="I48">"货物"&amp;INDIRECT("u"&amp;RANDBETWEEN(2,29))</f>
        <v>货物C</v>
      </c>
      <c r="J48">
        <f ca="1" t="shared" si="6"/>
        <v>257</v>
      </c>
      <c r="K48">
        <f ca="1" t="shared" si="7"/>
        <v>57.3</v>
      </c>
      <c r="L48">
        <f ca="1" t="shared" si="16"/>
        <v>14726.1</v>
      </c>
      <c r="M48">
        <f ca="1" t="shared" si="17"/>
        <v>39</v>
      </c>
      <c r="N48">
        <f ca="1" t="shared" si="18"/>
        <v>257</v>
      </c>
      <c r="O48">
        <f ca="1" t="shared" si="19"/>
        <v>205.6</v>
      </c>
      <c r="P48">
        <f ca="1" t="shared" si="20"/>
        <v>58.89</v>
      </c>
      <c r="Q48" t="str">
        <f t="shared" si="1"/>
        <v>货代公司A</v>
      </c>
      <c r="R48" t="str">
        <f ca="1" t="array" ref="R48">IF(B48=B47,R47,INDIRECT("z"&amp;RANDBETWEEN(2,4)))</f>
        <v>陆运</v>
      </c>
      <c r="S48" t="str">
        <f ca="1" t="shared" si="21"/>
        <v>陆10038</v>
      </c>
      <c r="T48" t="str">
        <f ca="1" t="shared" si="22"/>
        <v>宁波</v>
      </c>
    </row>
    <row r="49" spans="1:20">
      <c r="A49" s="6">
        <v>44075</v>
      </c>
      <c r="B49">
        <v>100047</v>
      </c>
      <c r="C49" t="str">
        <f t="shared" si="13"/>
        <v>唛头39</v>
      </c>
      <c r="D49" t="str">
        <f t="shared" si="14"/>
        <v>发货公司39</v>
      </c>
      <c r="E49" t="str">
        <f t="shared" si="15"/>
        <v>收货公司39</v>
      </c>
      <c r="F49" t="str">
        <f ca="1" t="array" ref="F49">INDIRECT("aa"&amp;RANDBETWEEN(2,19))</f>
        <v>云南省</v>
      </c>
      <c r="G49" t="s">
        <v>23</v>
      </c>
      <c r="H49" t="str">
        <f ca="1" t="array" ref="H49">IF(B49=B48,H48,INDIRECT("x"&amp;RANDBETWEEN(2,28)))</f>
        <v>新加坡</v>
      </c>
      <c r="I49" t="str">
        <f ca="1" t="array" ref="I49">"货物"&amp;INDIRECT("u"&amp;RANDBETWEEN(2,29))</f>
        <v>货物L</v>
      </c>
      <c r="J49">
        <f ca="1" t="shared" si="6"/>
        <v>2800</v>
      </c>
      <c r="K49">
        <f ca="1" t="shared" si="7"/>
        <v>74.2</v>
      </c>
      <c r="L49">
        <f ca="1" t="shared" si="16"/>
        <v>207760</v>
      </c>
      <c r="M49">
        <f ca="1" t="shared" si="17"/>
        <v>308</v>
      </c>
      <c r="N49">
        <f ca="1" t="shared" si="18"/>
        <v>3920</v>
      </c>
      <c r="O49">
        <f ca="1" t="shared" si="19"/>
        <v>3253.6</v>
      </c>
      <c r="P49">
        <f ca="1" t="shared" si="20"/>
        <v>489.72</v>
      </c>
      <c r="Q49" t="str">
        <f t="shared" si="1"/>
        <v>货代公司A</v>
      </c>
      <c r="R49" t="str">
        <f ca="1" t="array" ref="R49">IF(B49=B48,R48,INDIRECT("z"&amp;RANDBETWEEN(2,4)))</f>
        <v>船运</v>
      </c>
      <c r="S49" t="str">
        <f ca="1" t="shared" si="21"/>
        <v>船10039</v>
      </c>
      <c r="T49" t="str">
        <f ca="1" t="shared" si="22"/>
        <v>广州</v>
      </c>
    </row>
    <row r="50" spans="1:20">
      <c r="A50" s="6">
        <v>44075</v>
      </c>
      <c r="B50">
        <v>100048</v>
      </c>
      <c r="C50" t="str">
        <f t="shared" si="13"/>
        <v>唛头40</v>
      </c>
      <c r="D50" t="str">
        <f t="shared" si="14"/>
        <v>发货公司40</v>
      </c>
      <c r="E50" t="str">
        <f t="shared" si="15"/>
        <v>收货公司40</v>
      </c>
      <c r="F50" t="str">
        <f ca="1" t="array" ref="F50">INDIRECT("aa"&amp;RANDBETWEEN(2,19))</f>
        <v>辽宁省</v>
      </c>
      <c r="G50" t="s">
        <v>23</v>
      </c>
      <c r="H50" t="str">
        <f ca="1" t="array" ref="H50">IF(B50=B49,H49,INDIRECT("x"&amp;RANDBETWEEN(2,28)))</f>
        <v>越南</v>
      </c>
      <c r="I50" t="str">
        <f ca="1" t="array" ref="I50">"货物"&amp;INDIRECT("u"&amp;RANDBETWEEN(2,29))</f>
        <v>货物J</v>
      </c>
      <c r="J50">
        <f ca="1" t="shared" si="6"/>
        <v>4341</v>
      </c>
      <c r="K50">
        <f ca="1" t="shared" si="7"/>
        <v>18.3</v>
      </c>
      <c r="L50">
        <f ca="1" t="shared" si="16"/>
        <v>79440.3</v>
      </c>
      <c r="M50">
        <f ca="1" t="shared" si="17"/>
        <v>217</v>
      </c>
      <c r="N50">
        <f ca="1" t="shared" si="18"/>
        <v>3038.7</v>
      </c>
      <c r="O50">
        <f ca="1" t="shared" si="19"/>
        <v>2552.508</v>
      </c>
      <c r="P50">
        <f ca="1" t="shared" si="20"/>
        <v>238.7</v>
      </c>
      <c r="Q50" t="str">
        <f t="shared" si="1"/>
        <v>货代公司A</v>
      </c>
      <c r="R50" t="str">
        <f ca="1" t="array" ref="R50">IF(B50=B49,R49,INDIRECT("z"&amp;RANDBETWEEN(2,4)))</f>
        <v>陆运</v>
      </c>
      <c r="S50" t="str">
        <f ca="1" t="shared" si="21"/>
        <v>陆10040</v>
      </c>
      <c r="T50" t="str">
        <f ca="1" t="shared" si="22"/>
        <v>天津</v>
      </c>
    </row>
    <row r="51" spans="1:20">
      <c r="A51" s="6">
        <v>44075</v>
      </c>
      <c r="B51">
        <v>100049</v>
      </c>
      <c r="C51" t="str">
        <f t="shared" si="13"/>
        <v>唛头41</v>
      </c>
      <c r="D51" t="str">
        <f t="shared" si="14"/>
        <v>发货公司41</v>
      </c>
      <c r="E51" t="str">
        <f t="shared" si="15"/>
        <v>收货公司41</v>
      </c>
      <c r="F51" t="str">
        <f ca="1" t="array" ref="F51">INDIRECT("aa"&amp;RANDBETWEEN(2,19))</f>
        <v>云南省</v>
      </c>
      <c r="G51" t="s">
        <v>23</v>
      </c>
      <c r="H51" t="str">
        <f ca="1" t="array" ref="H51">IF(B51=B50,H50,INDIRECT("x"&amp;RANDBETWEEN(2,28)))</f>
        <v>波兰</v>
      </c>
      <c r="I51" t="str">
        <f ca="1" t="array" ref="I51">"货物"&amp;INDIRECT("u"&amp;RANDBETWEEN(2,29))</f>
        <v>货物A</v>
      </c>
      <c r="J51">
        <f ca="1" t="shared" si="6"/>
        <v>981</v>
      </c>
      <c r="K51">
        <f ca="1" t="shared" si="7"/>
        <v>16.5</v>
      </c>
      <c r="L51">
        <f ca="1" t="shared" si="16"/>
        <v>16186.5</v>
      </c>
      <c r="M51">
        <f ca="1" t="shared" si="17"/>
        <v>128</v>
      </c>
      <c r="N51">
        <f ca="1" t="shared" si="18"/>
        <v>3041.1</v>
      </c>
      <c r="O51">
        <f ca="1" t="shared" si="19"/>
        <v>2463.291</v>
      </c>
      <c r="P51">
        <f ca="1" t="shared" si="20"/>
        <v>231.68</v>
      </c>
      <c r="Q51" t="str">
        <f t="shared" si="1"/>
        <v>货代公司A</v>
      </c>
      <c r="R51" t="str">
        <f ca="1" t="array" ref="R51">IF(B51=B50,R50,INDIRECT("z"&amp;RANDBETWEEN(2,4)))</f>
        <v>陆运</v>
      </c>
      <c r="S51" t="str">
        <f ca="1" t="shared" si="21"/>
        <v>陆10041</v>
      </c>
      <c r="T51" t="str">
        <f ca="1" t="shared" si="22"/>
        <v>广州</v>
      </c>
    </row>
    <row r="52" spans="1:20">
      <c r="A52" s="6">
        <v>44075</v>
      </c>
      <c r="B52">
        <v>100050</v>
      </c>
      <c r="C52" t="str">
        <f t="shared" si="13"/>
        <v>唛头42</v>
      </c>
      <c r="D52" t="str">
        <f t="shared" si="14"/>
        <v>发货公司42</v>
      </c>
      <c r="E52" t="str">
        <f t="shared" si="15"/>
        <v>收货公司42</v>
      </c>
      <c r="F52" t="str">
        <f ca="1" t="array" ref="F52">INDIRECT("aa"&amp;RANDBETWEEN(2,19))</f>
        <v>四川省</v>
      </c>
      <c r="G52" t="s">
        <v>23</v>
      </c>
      <c r="H52" t="str">
        <f ca="1" t="array" ref="H52">IF(B52=B51,H51,INDIRECT("x"&amp;RANDBETWEEN(2,28)))</f>
        <v>老挝</v>
      </c>
      <c r="I52" t="str">
        <f ca="1" t="array" ref="I52">"货物"&amp;INDIRECT("u"&amp;RANDBETWEEN(2,29))</f>
        <v>货物N</v>
      </c>
      <c r="J52">
        <f ca="1" t="shared" si="6"/>
        <v>705</v>
      </c>
      <c r="K52">
        <f ca="1" t="shared" si="7"/>
        <v>73.6</v>
      </c>
      <c r="L52">
        <f ca="1" t="shared" si="16"/>
        <v>51888</v>
      </c>
      <c r="M52">
        <f ca="1" t="shared" si="17"/>
        <v>92</v>
      </c>
      <c r="N52">
        <f ca="1" t="shared" si="18"/>
        <v>2749.5</v>
      </c>
      <c r="O52">
        <f ca="1" t="shared" si="19"/>
        <v>2474.55</v>
      </c>
      <c r="P52">
        <f ca="1" t="shared" si="20"/>
        <v>152.72</v>
      </c>
      <c r="Q52" t="str">
        <f t="shared" si="1"/>
        <v>货代公司A</v>
      </c>
      <c r="R52" t="str">
        <f ca="1" t="array" ref="R52">IF(B52=B51,R51,INDIRECT("z"&amp;RANDBETWEEN(2,4)))</f>
        <v>空运</v>
      </c>
      <c r="S52" t="str">
        <f ca="1" t="shared" si="21"/>
        <v>空10042</v>
      </c>
      <c r="T52" t="str">
        <f ca="1" t="shared" si="22"/>
        <v>天津</v>
      </c>
    </row>
    <row r="53" spans="1:20">
      <c r="A53" s="6">
        <v>44075</v>
      </c>
      <c r="B53">
        <v>100050</v>
      </c>
      <c r="C53" t="str">
        <f t="shared" si="13"/>
        <v>唛头42</v>
      </c>
      <c r="D53" t="str">
        <f t="shared" si="14"/>
        <v>发货公司42</v>
      </c>
      <c r="E53" t="str">
        <f t="shared" si="15"/>
        <v>收货公司42</v>
      </c>
      <c r="F53" t="str">
        <f ca="1" t="array" ref="F53">INDIRECT("aa"&amp;RANDBETWEEN(2,19))</f>
        <v>湖南省</v>
      </c>
      <c r="G53" t="s">
        <v>23</v>
      </c>
      <c r="H53" t="str">
        <f ca="1" t="array" ref="H53">IF(B53=B52,H52,INDIRECT("x"&amp;RANDBETWEEN(2,28)))</f>
        <v>老挝</v>
      </c>
      <c r="I53" t="str">
        <f ca="1" t="array" ref="I53">"货物"&amp;INDIRECT("u"&amp;RANDBETWEEN(2,29))</f>
        <v>货物S</v>
      </c>
      <c r="J53">
        <f ca="1" t="shared" si="6"/>
        <v>841</v>
      </c>
      <c r="K53">
        <f ca="1" t="shared" si="7"/>
        <v>95.2</v>
      </c>
      <c r="L53">
        <f ca="1" t="shared" si="16"/>
        <v>80063.2</v>
      </c>
      <c r="M53">
        <f ca="1" t="shared" si="17"/>
        <v>42</v>
      </c>
      <c r="N53">
        <f ca="1" t="shared" si="18"/>
        <v>2018.4</v>
      </c>
      <c r="O53">
        <f ca="1" t="shared" si="19"/>
        <v>1776.192</v>
      </c>
      <c r="P53">
        <f ca="1" t="shared" si="20"/>
        <v>64.68</v>
      </c>
      <c r="Q53" t="str">
        <f t="shared" si="1"/>
        <v>货代公司A</v>
      </c>
      <c r="R53" t="str">
        <f ca="1" t="array" ref="R53">IF(B53=B52,R52,INDIRECT("z"&amp;RANDBETWEEN(2,4)))</f>
        <v>空运</v>
      </c>
      <c r="S53" t="str">
        <f ca="1" t="shared" si="21"/>
        <v>空10042</v>
      </c>
      <c r="T53" t="str">
        <f ca="1" t="shared" si="22"/>
        <v>上海</v>
      </c>
    </row>
    <row r="54" spans="1:20">
      <c r="A54" s="6">
        <v>44075</v>
      </c>
      <c r="B54">
        <v>100052</v>
      </c>
      <c r="C54" t="str">
        <f t="shared" si="13"/>
        <v>唛头43</v>
      </c>
      <c r="D54" t="str">
        <f t="shared" si="14"/>
        <v>发货公司43</v>
      </c>
      <c r="E54" t="str">
        <f t="shared" si="15"/>
        <v>收货公司43</v>
      </c>
      <c r="F54" t="str">
        <f ca="1" t="array" ref="F54">INDIRECT("aa"&amp;RANDBETWEEN(2,19))</f>
        <v>福建省</v>
      </c>
      <c r="G54" t="s">
        <v>23</v>
      </c>
      <c r="H54" t="str">
        <f ca="1" t="array" ref="H54">IF(B54=B53,H53,INDIRECT("x"&amp;RANDBETWEEN(2,28)))</f>
        <v>吉尔吉斯斯坦</v>
      </c>
      <c r="I54" t="str">
        <f ca="1" t="array" ref="I54">"货物"&amp;INDIRECT("u"&amp;RANDBETWEEN(2,29))</f>
        <v>货物L</v>
      </c>
      <c r="J54">
        <f ca="1" t="shared" si="6"/>
        <v>4718</v>
      </c>
      <c r="K54">
        <f ca="1" t="shared" si="7"/>
        <v>70.2</v>
      </c>
      <c r="L54">
        <f ca="1" t="shared" si="16"/>
        <v>331203.6</v>
      </c>
      <c r="M54">
        <f ca="1" t="shared" si="17"/>
        <v>236</v>
      </c>
      <c r="N54">
        <f ca="1" t="shared" si="18"/>
        <v>2359</v>
      </c>
      <c r="O54">
        <f ca="1" t="shared" si="19"/>
        <v>2052.33</v>
      </c>
      <c r="P54">
        <f ca="1" t="shared" si="20"/>
        <v>273.76</v>
      </c>
      <c r="Q54" t="str">
        <f t="shared" si="1"/>
        <v>货代公司A</v>
      </c>
      <c r="R54" t="str">
        <f ca="1" t="array" ref="R54">IF(B54=B53,R53,INDIRECT("z"&amp;RANDBETWEEN(2,4)))</f>
        <v>陆运</v>
      </c>
      <c r="S54" t="str">
        <f ca="1" t="shared" si="21"/>
        <v>陆10043</v>
      </c>
      <c r="T54" t="str">
        <f ca="1" t="shared" si="22"/>
        <v>佛山</v>
      </c>
    </row>
    <row r="55" spans="1:20">
      <c r="A55" s="6">
        <v>44075</v>
      </c>
      <c r="B55">
        <v>100053</v>
      </c>
      <c r="C55" t="str">
        <f t="shared" si="13"/>
        <v>唛头44</v>
      </c>
      <c r="D55" t="str">
        <f t="shared" si="14"/>
        <v>发货公司44</v>
      </c>
      <c r="E55" t="str">
        <f t="shared" si="15"/>
        <v>收货公司44</v>
      </c>
      <c r="F55" t="str">
        <f ca="1" t="array" ref="F55">INDIRECT("aa"&amp;RANDBETWEEN(2,19))</f>
        <v>辽宁省</v>
      </c>
      <c r="G55" t="s">
        <v>23</v>
      </c>
      <c r="H55" t="str">
        <f ca="1" t="array" ref="H55">IF(B55=B54,H54,INDIRECT("x"&amp;RANDBETWEEN(2,28)))</f>
        <v>塔吉克斯坦</v>
      </c>
      <c r="I55" t="str">
        <f ca="1" t="array" ref="I55">"货物"&amp;INDIRECT("u"&amp;RANDBETWEEN(2,29))</f>
        <v>货物A</v>
      </c>
      <c r="J55">
        <f ca="1" t="shared" si="6"/>
        <v>2405</v>
      </c>
      <c r="K55">
        <f ca="1" t="shared" si="7"/>
        <v>33.1</v>
      </c>
      <c r="L55">
        <f ca="1" t="shared" si="16"/>
        <v>79605.5</v>
      </c>
      <c r="M55">
        <f ca="1" t="shared" si="17"/>
        <v>192</v>
      </c>
      <c r="N55">
        <f ca="1" t="shared" si="18"/>
        <v>481</v>
      </c>
      <c r="O55">
        <f ca="1" t="shared" si="19"/>
        <v>423.28</v>
      </c>
      <c r="P55">
        <f ca="1" t="shared" si="20"/>
        <v>259.2</v>
      </c>
      <c r="Q55" t="str">
        <f t="shared" si="1"/>
        <v>货代公司A</v>
      </c>
      <c r="R55" t="str">
        <f ca="1" t="array" ref="R55">IF(B55=B54,R54,INDIRECT("z"&amp;RANDBETWEEN(2,4)))</f>
        <v>船运</v>
      </c>
      <c r="S55" t="str">
        <f ca="1" t="shared" si="21"/>
        <v>船10044</v>
      </c>
      <c r="T55" t="str">
        <f ca="1" t="shared" si="22"/>
        <v>青岛</v>
      </c>
    </row>
    <row r="56" spans="1:20">
      <c r="A56" s="6">
        <v>44075</v>
      </c>
      <c r="B56">
        <v>100054</v>
      </c>
      <c r="C56" t="str">
        <f t="shared" si="13"/>
        <v>唛头45</v>
      </c>
      <c r="D56" t="str">
        <f t="shared" si="14"/>
        <v>发货公司45</v>
      </c>
      <c r="E56" t="str">
        <f t="shared" si="15"/>
        <v>收货公司45</v>
      </c>
      <c r="F56" t="str">
        <f ca="1" t="array" ref="F56">INDIRECT("aa"&amp;RANDBETWEEN(2,19))</f>
        <v>黑龙江省</v>
      </c>
      <c r="G56" t="s">
        <v>23</v>
      </c>
      <c r="H56" t="str">
        <f ca="1" t="array" ref="H56">IF(B56=B55,H55,INDIRECT("x"&amp;RANDBETWEEN(2,28)))</f>
        <v>波兰</v>
      </c>
      <c r="I56" t="str">
        <f ca="1" t="array" ref="I56">"货物"&amp;INDIRECT("u"&amp;RANDBETWEEN(2,29))</f>
        <v>货物N</v>
      </c>
      <c r="J56">
        <f ca="1" t="shared" si="6"/>
        <v>2464</v>
      </c>
      <c r="K56">
        <f ca="1" t="shared" si="7"/>
        <v>68.4</v>
      </c>
      <c r="L56">
        <f ca="1" t="shared" si="16"/>
        <v>168537.6</v>
      </c>
      <c r="M56">
        <f ca="1" t="shared" si="17"/>
        <v>172</v>
      </c>
      <c r="N56">
        <f ca="1" t="shared" si="18"/>
        <v>3696</v>
      </c>
      <c r="O56">
        <f ca="1" t="shared" si="19"/>
        <v>2956.8</v>
      </c>
      <c r="P56">
        <f ca="1" t="shared" si="20"/>
        <v>194.36</v>
      </c>
      <c r="Q56" t="str">
        <f t="shared" si="1"/>
        <v>货代公司A</v>
      </c>
      <c r="R56" t="str">
        <f ca="1" t="array" ref="R56">IF(B56=B55,R55,INDIRECT("z"&amp;RANDBETWEEN(2,4)))</f>
        <v>船运</v>
      </c>
      <c r="S56" t="str">
        <f ca="1" t="shared" si="21"/>
        <v>船10045</v>
      </c>
      <c r="T56" t="str">
        <f ca="1" t="shared" si="22"/>
        <v>青岛</v>
      </c>
    </row>
    <row r="57" spans="1:20">
      <c r="A57" s="6">
        <v>44075</v>
      </c>
      <c r="B57">
        <v>100055</v>
      </c>
      <c r="C57" t="str">
        <f t="shared" si="13"/>
        <v>唛头46</v>
      </c>
      <c r="D57" t="str">
        <f t="shared" si="14"/>
        <v>发货公司46</v>
      </c>
      <c r="E57" t="str">
        <f t="shared" si="15"/>
        <v>收货公司46</v>
      </c>
      <c r="F57" t="str">
        <f ca="1" t="array" ref="F57">INDIRECT("aa"&amp;RANDBETWEEN(2,19))</f>
        <v>河北省</v>
      </c>
      <c r="G57" t="s">
        <v>23</v>
      </c>
      <c r="H57" t="str">
        <f ca="1" t="array" ref="H57">IF(B57=B56,H56,INDIRECT("x"&amp;RANDBETWEEN(2,28)))</f>
        <v>吉尔吉斯斯坦</v>
      </c>
      <c r="I57" t="str">
        <f ca="1" t="array" ref="I57">"货物"&amp;INDIRECT("u"&amp;RANDBETWEEN(2,29))</f>
        <v>货物A</v>
      </c>
      <c r="J57">
        <f ca="1" t="shared" si="6"/>
        <v>2614</v>
      </c>
      <c r="K57">
        <f ca="1" t="shared" si="7"/>
        <v>67.9</v>
      </c>
      <c r="L57">
        <f ca="1" t="shared" si="16"/>
        <v>177490.6</v>
      </c>
      <c r="M57">
        <f ca="1" t="shared" si="17"/>
        <v>209</v>
      </c>
      <c r="N57">
        <f ca="1" t="shared" si="18"/>
        <v>7842</v>
      </c>
      <c r="O57">
        <f ca="1" t="shared" si="19"/>
        <v>6430.44</v>
      </c>
      <c r="P57">
        <f ca="1" t="shared" si="20"/>
        <v>376.2</v>
      </c>
      <c r="Q57" t="str">
        <f t="shared" si="1"/>
        <v>货代公司A</v>
      </c>
      <c r="R57" t="str">
        <f ca="1" t="array" ref="R57">IF(B57=B56,R56,INDIRECT("z"&amp;RANDBETWEEN(2,4)))</f>
        <v>陆运</v>
      </c>
      <c r="S57" t="str">
        <f ca="1" t="shared" si="21"/>
        <v>陆10046</v>
      </c>
      <c r="T57" t="str">
        <f ca="1" t="shared" si="22"/>
        <v>青岛</v>
      </c>
    </row>
    <row r="58" spans="1:20">
      <c r="A58" s="6">
        <v>44075</v>
      </c>
      <c r="B58">
        <v>100056</v>
      </c>
      <c r="C58" t="str">
        <f t="shared" si="13"/>
        <v>唛头47</v>
      </c>
      <c r="D58" t="str">
        <f t="shared" si="14"/>
        <v>发货公司47</v>
      </c>
      <c r="E58" t="str">
        <f t="shared" si="15"/>
        <v>收货公司47</v>
      </c>
      <c r="F58" t="str">
        <f ca="1" t="array" ref="F58">INDIRECT("aa"&amp;RANDBETWEEN(2,19))</f>
        <v>湖北省</v>
      </c>
      <c r="G58" t="s">
        <v>23</v>
      </c>
      <c r="H58" t="str">
        <f ca="1" t="array" ref="H58">IF(B58=B57,H57,INDIRECT("x"&amp;RANDBETWEEN(2,28)))</f>
        <v>菲律宾</v>
      </c>
      <c r="I58" t="str">
        <f ca="1" t="array" ref="I58">"货物"&amp;INDIRECT("u"&amp;RANDBETWEEN(2,29))</f>
        <v>货物P</v>
      </c>
      <c r="J58">
        <f ca="1" t="shared" si="6"/>
        <v>4800</v>
      </c>
      <c r="K58">
        <f ca="1" t="shared" si="7"/>
        <v>87.7</v>
      </c>
      <c r="L58">
        <f ca="1" t="shared" si="16"/>
        <v>420960</v>
      </c>
      <c r="M58">
        <f ca="1" t="shared" si="17"/>
        <v>720</v>
      </c>
      <c r="N58">
        <f ca="1" t="shared" si="18"/>
        <v>3360</v>
      </c>
      <c r="O58">
        <f ca="1" t="shared" si="19"/>
        <v>2721.6</v>
      </c>
      <c r="P58">
        <f ca="1" t="shared" si="20"/>
        <v>792</v>
      </c>
      <c r="Q58" t="str">
        <f t="shared" si="1"/>
        <v>货代公司A</v>
      </c>
      <c r="R58" t="str">
        <f ca="1" t="array" ref="R58">IF(B58=B57,R57,INDIRECT("z"&amp;RANDBETWEEN(2,4)))</f>
        <v>陆运</v>
      </c>
      <c r="S58" t="str">
        <f ca="1" t="shared" si="21"/>
        <v>陆10047</v>
      </c>
      <c r="T58" t="str">
        <f ca="1" t="shared" si="22"/>
        <v>上海</v>
      </c>
    </row>
    <row r="59" spans="1:20">
      <c r="A59" s="6">
        <v>44075</v>
      </c>
      <c r="B59">
        <v>100057</v>
      </c>
      <c r="C59" t="str">
        <f t="shared" si="13"/>
        <v>唛头48</v>
      </c>
      <c r="D59" t="str">
        <f t="shared" si="14"/>
        <v>发货公司48</v>
      </c>
      <c r="E59" t="str">
        <f t="shared" si="15"/>
        <v>收货公司48</v>
      </c>
      <c r="F59" t="str">
        <f ca="1" t="array" ref="F59">INDIRECT("aa"&amp;RANDBETWEEN(2,19))</f>
        <v>山西省</v>
      </c>
      <c r="G59" t="s">
        <v>23</v>
      </c>
      <c r="H59" t="str">
        <f ca="1" t="array" ref="H59">IF(B59=B58,H58,INDIRECT("x"&amp;RANDBETWEEN(2,28)))</f>
        <v>塔吉克斯坦</v>
      </c>
      <c r="I59" t="str">
        <f ca="1" t="array" ref="I59">"货物"&amp;INDIRECT("u"&amp;RANDBETWEEN(2,29))</f>
        <v>货物G</v>
      </c>
      <c r="J59">
        <f ca="1" t="shared" si="6"/>
        <v>2607</v>
      </c>
      <c r="K59">
        <f ca="1" t="shared" si="7"/>
        <v>49.6</v>
      </c>
      <c r="L59">
        <f ca="1" t="shared" si="16"/>
        <v>129307.2</v>
      </c>
      <c r="M59">
        <f ca="1" t="shared" si="17"/>
        <v>235</v>
      </c>
      <c r="N59">
        <f ca="1" t="shared" si="18"/>
        <v>5214</v>
      </c>
      <c r="O59">
        <f ca="1" t="shared" si="19"/>
        <v>4536.18</v>
      </c>
      <c r="P59">
        <f ca="1" t="shared" si="20"/>
        <v>458.25</v>
      </c>
      <c r="Q59" t="str">
        <f t="shared" si="1"/>
        <v>货代公司A</v>
      </c>
      <c r="R59" t="str">
        <f ca="1" t="array" ref="R59">IF(B59=B58,R58,INDIRECT("z"&amp;RANDBETWEEN(2,4)))</f>
        <v>空运</v>
      </c>
      <c r="S59" t="str">
        <f ca="1" t="shared" si="21"/>
        <v>空10048</v>
      </c>
      <c r="T59" t="str">
        <f ca="1" t="shared" si="22"/>
        <v>青岛</v>
      </c>
    </row>
    <row r="60" spans="1:20">
      <c r="A60" s="6">
        <v>44075</v>
      </c>
      <c r="B60">
        <v>100057</v>
      </c>
      <c r="C60" t="str">
        <f t="shared" si="13"/>
        <v>唛头48</v>
      </c>
      <c r="D60" t="str">
        <f t="shared" si="14"/>
        <v>发货公司48</v>
      </c>
      <c r="E60" t="str">
        <f t="shared" si="15"/>
        <v>收货公司48</v>
      </c>
      <c r="F60" t="str">
        <f ca="1" t="array" ref="F60">INDIRECT("aa"&amp;RANDBETWEEN(2,19))</f>
        <v>江苏省</v>
      </c>
      <c r="G60" t="s">
        <v>23</v>
      </c>
      <c r="H60" t="str">
        <f ca="1" t="array" ref="H60">IF(B60=B59,H59,INDIRECT("x"&amp;RANDBETWEEN(2,28)))</f>
        <v>塔吉克斯坦</v>
      </c>
      <c r="I60" t="str">
        <f ca="1" t="array" ref="I60">"货物"&amp;INDIRECT("u"&amp;RANDBETWEEN(2,29))</f>
        <v>货物N</v>
      </c>
      <c r="J60">
        <f ca="1" t="shared" si="6"/>
        <v>1419</v>
      </c>
      <c r="K60">
        <f ca="1" t="shared" si="7"/>
        <v>39.7</v>
      </c>
      <c r="L60">
        <f ca="1" t="shared" si="16"/>
        <v>56334.3</v>
      </c>
      <c r="M60">
        <f ca="1" t="shared" si="17"/>
        <v>199</v>
      </c>
      <c r="N60">
        <f ca="1" t="shared" si="18"/>
        <v>141.9</v>
      </c>
      <c r="O60">
        <f ca="1" t="shared" si="19"/>
        <v>114.939</v>
      </c>
      <c r="P60">
        <f ca="1" t="shared" si="20"/>
        <v>175.12</v>
      </c>
      <c r="Q60" t="str">
        <f t="shared" si="1"/>
        <v>货代公司A</v>
      </c>
      <c r="R60" t="str">
        <f ca="1" t="array" ref="R60">IF(B60=B59,R59,INDIRECT("z"&amp;RANDBETWEEN(2,4)))</f>
        <v>空运</v>
      </c>
      <c r="S60" t="str">
        <f ca="1" t="shared" si="21"/>
        <v>空10048</v>
      </c>
      <c r="T60" t="str">
        <f ca="1" t="shared" si="22"/>
        <v>宁波</v>
      </c>
    </row>
    <row r="61" spans="1:20">
      <c r="A61" s="6">
        <v>44075</v>
      </c>
      <c r="B61">
        <v>100059</v>
      </c>
      <c r="C61" t="str">
        <f t="shared" si="13"/>
        <v>唛头49</v>
      </c>
      <c r="D61" t="str">
        <f t="shared" si="14"/>
        <v>发货公司49</v>
      </c>
      <c r="E61" t="str">
        <f t="shared" si="15"/>
        <v>收货公司49</v>
      </c>
      <c r="F61" t="str">
        <f ca="1" t="array" ref="F61">INDIRECT("aa"&amp;RANDBETWEEN(2,19))</f>
        <v>广东省</v>
      </c>
      <c r="G61" t="s">
        <v>23</v>
      </c>
      <c r="H61" t="str">
        <f ca="1" t="array" ref="H61">IF(B61=B60,H60,INDIRECT("x"&amp;RANDBETWEEN(2,28)))</f>
        <v>哥斯达黎加</v>
      </c>
      <c r="I61" t="str">
        <f ca="1" t="array" ref="I61">"货物"&amp;INDIRECT("u"&amp;RANDBETWEEN(2,29))</f>
        <v>货物S</v>
      </c>
      <c r="J61">
        <f ca="1" t="shared" si="6"/>
        <v>3561</v>
      </c>
      <c r="K61">
        <f ca="1" t="shared" si="7"/>
        <v>75.7</v>
      </c>
      <c r="L61">
        <f ca="1" t="shared" si="16"/>
        <v>269567.7</v>
      </c>
      <c r="M61">
        <f ca="1" t="shared" si="17"/>
        <v>392</v>
      </c>
      <c r="N61">
        <f ca="1" t="shared" si="18"/>
        <v>6053.7</v>
      </c>
      <c r="O61">
        <f ca="1" t="shared" si="19"/>
        <v>4842.96</v>
      </c>
      <c r="P61">
        <f ca="1" t="shared" si="20"/>
        <v>344.96</v>
      </c>
      <c r="Q61" t="str">
        <f t="shared" si="1"/>
        <v>货代公司A</v>
      </c>
      <c r="R61" t="str">
        <f ca="1" t="array" ref="R61">IF(B61=B60,R60,INDIRECT("z"&amp;RANDBETWEEN(2,4)))</f>
        <v>陆运</v>
      </c>
      <c r="S61" t="str">
        <f ca="1" t="shared" si="21"/>
        <v>陆10049</v>
      </c>
      <c r="T61" t="str">
        <f ca="1" t="shared" si="22"/>
        <v>东莞</v>
      </c>
    </row>
    <row r="62" spans="1:20">
      <c r="A62" s="6">
        <v>44075</v>
      </c>
      <c r="B62">
        <v>100060</v>
      </c>
      <c r="C62" t="str">
        <f t="shared" si="13"/>
        <v>唛头50</v>
      </c>
      <c r="D62" t="str">
        <f t="shared" si="14"/>
        <v>发货公司50</v>
      </c>
      <c r="E62" t="str">
        <f t="shared" si="15"/>
        <v>收货公司50</v>
      </c>
      <c r="F62" t="str">
        <f ca="1" t="array" ref="F62">INDIRECT("aa"&amp;RANDBETWEEN(2,19))</f>
        <v>湖北省</v>
      </c>
      <c r="G62" t="s">
        <v>23</v>
      </c>
      <c r="H62" t="str">
        <f ca="1" t="array" ref="H62">IF(B62=B61,H61,INDIRECT("x"&amp;RANDBETWEEN(2,28)))</f>
        <v>乌兹别克斯坦</v>
      </c>
      <c r="I62" t="str">
        <f ca="1" t="array" ref="I62">"货物"&amp;INDIRECT("u"&amp;RANDBETWEEN(2,29))</f>
        <v>货物M</v>
      </c>
      <c r="J62">
        <f ca="1" t="shared" si="6"/>
        <v>4415</v>
      </c>
      <c r="K62">
        <f ca="1" t="shared" si="7"/>
        <v>76</v>
      </c>
      <c r="L62">
        <f ca="1" t="shared" si="16"/>
        <v>335540</v>
      </c>
      <c r="M62">
        <f ca="1" t="shared" si="17"/>
        <v>265</v>
      </c>
      <c r="N62">
        <f ca="1" t="shared" si="18"/>
        <v>883</v>
      </c>
      <c r="O62">
        <f ca="1" t="shared" si="19"/>
        <v>724.06</v>
      </c>
      <c r="P62">
        <f ca="1" t="shared" si="20"/>
        <v>378.95</v>
      </c>
      <c r="Q62" t="str">
        <f t="shared" si="1"/>
        <v>货代公司A</v>
      </c>
      <c r="R62" t="str">
        <f ca="1" t="array" ref="R62">IF(B62=B61,R61,INDIRECT("z"&amp;RANDBETWEEN(2,4)))</f>
        <v>船运</v>
      </c>
      <c r="S62" t="str">
        <f ca="1" t="shared" si="21"/>
        <v>船10050</v>
      </c>
      <c r="T62" t="str">
        <f ca="1" t="shared" si="22"/>
        <v>上海</v>
      </c>
    </row>
    <row r="63" spans="1:20">
      <c r="A63" s="6">
        <v>44075</v>
      </c>
      <c r="B63">
        <v>100061</v>
      </c>
      <c r="C63" t="str">
        <f t="shared" si="13"/>
        <v>唛头51</v>
      </c>
      <c r="D63" t="str">
        <f t="shared" si="14"/>
        <v>发货公司51</v>
      </c>
      <c r="E63" t="str">
        <f t="shared" si="15"/>
        <v>收货公司51</v>
      </c>
      <c r="F63" t="str">
        <f ca="1" t="array" ref="F63">INDIRECT("aa"&amp;RANDBETWEEN(2,19))</f>
        <v>广东省</v>
      </c>
      <c r="G63" t="s">
        <v>23</v>
      </c>
      <c r="H63" t="str">
        <f ca="1" t="array" ref="H63">IF(B63=B62,H62,INDIRECT("x"&amp;RANDBETWEEN(2,28)))</f>
        <v>斯洛伐克</v>
      </c>
      <c r="I63" t="str">
        <f ca="1" t="array" ref="I63">"货物"&amp;INDIRECT("u"&amp;RANDBETWEEN(2,29))</f>
        <v>货物G</v>
      </c>
      <c r="J63">
        <f ca="1" t="shared" si="6"/>
        <v>757</v>
      </c>
      <c r="K63">
        <f ca="1" t="shared" si="7"/>
        <v>49.4</v>
      </c>
      <c r="L63">
        <f ca="1" t="shared" si="16"/>
        <v>37395.8</v>
      </c>
      <c r="M63">
        <f ca="1" t="shared" si="17"/>
        <v>45</v>
      </c>
      <c r="N63">
        <f ca="1" t="shared" si="18"/>
        <v>1059.8</v>
      </c>
      <c r="O63">
        <f ca="1" t="shared" si="19"/>
        <v>932.624</v>
      </c>
      <c r="P63">
        <f ca="1" t="shared" si="20"/>
        <v>43.2</v>
      </c>
      <c r="Q63" t="str">
        <f t="shared" si="1"/>
        <v>货代公司A</v>
      </c>
      <c r="R63" t="str">
        <f ca="1" t="array" ref="R63">IF(B63=B62,R62,INDIRECT("z"&amp;RANDBETWEEN(2,4)))</f>
        <v>陆运</v>
      </c>
      <c r="S63" t="str">
        <f ca="1" t="shared" si="21"/>
        <v>陆10051</v>
      </c>
      <c r="T63" t="str">
        <f ca="1" t="shared" si="22"/>
        <v>广州</v>
      </c>
    </row>
    <row r="64" spans="1:20">
      <c r="A64" s="6">
        <v>44075</v>
      </c>
      <c r="B64">
        <v>100062</v>
      </c>
      <c r="C64" t="str">
        <f t="shared" si="13"/>
        <v>唛头52</v>
      </c>
      <c r="D64" t="str">
        <f t="shared" si="14"/>
        <v>发货公司52</v>
      </c>
      <c r="E64" t="str">
        <f t="shared" si="15"/>
        <v>收货公司52</v>
      </c>
      <c r="F64" t="str">
        <f ca="1" t="array" ref="F64">INDIRECT("aa"&amp;RANDBETWEEN(2,19))</f>
        <v>黑龙江省</v>
      </c>
      <c r="G64" t="s">
        <v>23</v>
      </c>
      <c r="H64" t="str">
        <f ca="1" t="array" ref="H64">IF(B64=B63,H63,INDIRECT("x"&amp;RANDBETWEEN(2,28)))</f>
        <v>韩国</v>
      </c>
      <c r="I64" t="str">
        <f ca="1" t="array" ref="I64">"货物"&amp;INDIRECT("u"&amp;RANDBETWEEN(2,29))</f>
        <v>货物Z</v>
      </c>
      <c r="J64">
        <f ca="1" t="shared" si="6"/>
        <v>3893</v>
      </c>
      <c r="K64">
        <f ca="1" t="shared" si="7"/>
        <v>27.5</v>
      </c>
      <c r="L64">
        <f ca="1" t="shared" si="16"/>
        <v>107057.5</v>
      </c>
      <c r="M64">
        <f ca="1" t="shared" si="17"/>
        <v>584</v>
      </c>
      <c r="N64">
        <f ca="1" t="shared" si="18"/>
        <v>10511.1</v>
      </c>
      <c r="O64">
        <f ca="1" t="shared" si="19"/>
        <v>8513.991</v>
      </c>
      <c r="P64">
        <f ca="1" t="shared" si="20"/>
        <v>805.92</v>
      </c>
      <c r="Q64" t="str">
        <f t="shared" si="1"/>
        <v>货代公司A</v>
      </c>
      <c r="R64" t="str">
        <f ca="1" t="array" ref="R64">IF(B64=B63,R63,INDIRECT("z"&amp;RANDBETWEEN(2,4)))</f>
        <v>陆运</v>
      </c>
      <c r="S64" t="str">
        <f ca="1" t="shared" si="21"/>
        <v>陆10052</v>
      </c>
      <c r="T64" t="str">
        <f ca="1" t="shared" si="22"/>
        <v>天津</v>
      </c>
    </row>
    <row r="65" spans="1:20">
      <c r="A65" s="6">
        <v>44075</v>
      </c>
      <c r="B65">
        <v>100063</v>
      </c>
      <c r="C65" t="str">
        <f t="shared" si="13"/>
        <v>唛头53</v>
      </c>
      <c r="D65" t="str">
        <f t="shared" si="14"/>
        <v>发货公司53</v>
      </c>
      <c r="E65" t="str">
        <f t="shared" si="15"/>
        <v>收货公司53</v>
      </c>
      <c r="F65" t="str">
        <f ca="1" t="array" ref="F65">INDIRECT("aa"&amp;RANDBETWEEN(2,19))</f>
        <v>浙江省</v>
      </c>
      <c r="G65" t="s">
        <v>23</v>
      </c>
      <c r="H65" t="str">
        <f ca="1" t="array" ref="H65">IF(B65=B64,H64,INDIRECT("x"&amp;RANDBETWEEN(2,28)))</f>
        <v>洪都拉斯</v>
      </c>
      <c r="I65" t="str">
        <f ca="1" t="array" ref="I65">"货物"&amp;INDIRECT("u"&amp;RANDBETWEEN(2,29))</f>
        <v>货物Q</v>
      </c>
      <c r="J65">
        <f ca="1" t="shared" si="6"/>
        <v>4971</v>
      </c>
      <c r="K65">
        <f ca="1" t="shared" si="7"/>
        <v>36</v>
      </c>
      <c r="L65">
        <f ca="1" t="shared" si="16"/>
        <v>178956</v>
      </c>
      <c r="M65">
        <f ca="1" t="shared" si="17"/>
        <v>497</v>
      </c>
      <c r="N65">
        <f ca="1" t="shared" si="18"/>
        <v>13918.8</v>
      </c>
      <c r="O65">
        <f ca="1" t="shared" si="19"/>
        <v>11413.416</v>
      </c>
      <c r="P65">
        <f ca="1" t="shared" si="20"/>
        <v>750.47</v>
      </c>
      <c r="Q65" t="str">
        <f t="shared" si="1"/>
        <v>货代公司A</v>
      </c>
      <c r="R65" t="str">
        <f ca="1" t="array" ref="R65">IF(B65=B64,R64,INDIRECT("z"&amp;RANDBETWEEN(2,4)))</f>
        <v>陆运</v>
      </c>
      <c r="S65" t="str">
        <f ca="1" t="shared" si="21"/>
        <v>陆10053</v>
      </c>
      <c r="T65" t="str">
        <f ca="1" t="shared" si="22"/>
        <v>宁波</v>
      </c>
    </row>
    <row r="66" spans="1:20">
      <c r="A66" s="6">
        <v>44075</v>
      </c>
      <c r="B66">
        <v>100063</v>
      </c>
      <c r="C66" t="str">
        <f t="shared" si="13"/>
        <v>唛头53</v>
      </c>
      <c r="D66" t="str">
        <f t="shared" si="14"/>
        <v>发货公司53</v>
      </c>
      <c r="E66" t="str">
        <f t="shared" si="15"/>
        <v>收货公司53</v>
      </c>
      <c r="F66" t="str">
        <f ca="1" t="array" ref="F66">INDIRECT("aa"&amp;RANDBETWEEN(2,19))</f>
        <v>湖南省</v>
      </c>
      <c r="G66" t="s">
        <v>23</v>
      </c>
      <c r="H66" t="str">
        <f ca="1" t="array" ref="H66">IF(B66=B65,H65,INDIRECT("x"&amp;RANDBETWEEN(2,28)))</f>
        <v>洪都拉斯</v>
      </c>
      <c r="I66" t="str">
        <f ca="1" t="array" ref="I66">"货物"&amp;INDIRECT("u"&amp;RANDBETWEEN(2,29))</f>
        <v>货物C</v>
      </c>
      <c r="J66">
        <f ca="1" t="shared" si="6"/>
        <v>4912</v>
      </c>
      <c r="K66">
        <f ca="1" t="shared" si="7"/>
        <v>15.7</v>
      </c>
      <c r="L66">
        <f ca="1" t="shared" si="16"/>
        <v>77118.4</v>
      </c>
      <c r="M66">
        <f ca="1" t="shared" si="17"/>
        <v>344</v>
      </c>
      <c r="N66">
        <f ca="1" t="shared" si="18"/>
        <v>16209.6</v>
      </c>
      <c r="O66">
        <f ca="1" t="shared" si="19"/>
        <v>14588.64</v>
      </c>
      <c r="P66">
        <f ca="1" t="shared" si="20"/>
        <v>688</v>
      </c>
      <c r="Q66" t="str">
        <f t="shared" si="1"/>
        <v>货代公司A</v>
      </c>
      <c r="R66" t="str">
        <f ca="1" t="array" ref="R66">IF(B66=B65,R65,INDIRECT("z"&amp;RANDBETWEEN(2,4)))</f>
        <v>陆运</v>
      </c>
      <c r="S66" t="str">
        <f ca="1" t="shared" si="21"/>
        <v>陆10053</v>
      </c>
      <c r="T66" t="str">
        <f ca="1" t="shared" si="22"/>
        <v>上海</v>
      </c>
    </row>
    <row r="67" spans="1:20">
      <c r="A67" s="6">
        <v>44075</v>
      </c>
      <c r="B67">
        <v>100065</v>
      </c>
      <c r="C67" t="str">
        <f t="shared" si="13"/>
        <v>唛头54</v>
      </c>
      <c r="D67" t="str">
        <f t="shared" si="14"/>
        <v>发货公司54</v>
      </c>
      <c r="E67" t="str">
        <f t="shared" si="15"/>
        <v>收货公司54</v>
      </c>
      <c r="F67" t="str">
        <f ca="1" t="array" ref="F67">INDIRECT("aa"&amp;RANDBETWEEN(2,19))</f>
        <v>辽宁省</v>
      </c>
      <c r="G67" t="s">
        <v>23</v>
      </c>
      <c r="H67" t="str">
        <f ca="1" t="array" ref="H67">IF(B67=B66,H66,INDIRECT("x"&amp;RANDBETWEEN(2,28)))</f>
        <v>柬埔寨</v>
      </c>
      <c r="I67" t="str">
        <f ca="1" t="array" ref="I67">"货物"&amp;INDIRECT("u"&amp;RANDBETWEEN(2,29))</f>
        <v>货物M</v>
      </c>
      <c r="J67">
        <f ca="1" t="shared" si="6"/>
        <v>3549</v>
      </c>
      <c r="K67">
        <f ca="1" t="shared" si="7"/>
        <v>46.8</v>
      </c>
      <c r="L67">
        <f ca="1" t="shared" si="16"/>
        <v>166093.2</v>
      </c>
      <c r="M67">
        <f ca="1" t="shared" si="17"/>
        <v>284</v>
      </c>
      <c r="N67">
        <f ca="1" t="shared" si="18"/>
        <v>7098</v>
      </c>
      <c r="O67">
        <f ca="1" t="shared" si="19"/>
        <v>5891.34</v>
      </c>
      <c r="P67">
        <f ca="1" t="shared" si="20"/>
        <v>272.64</v>
      </c>
      <c r="Q67" t="str">
        <f t="shared" si="1"/>
        <v>货代公司A</v>
      </c>
      <c r="R67" t="str">
        <f ca="1" t="array" ref="R67">IF(B67=B66,R66,INDIRECT("z"&amp;RANDBETWEEN(2,4)))</f>
        <v>船运</v>
      </c>
      <c r="S67" t="str">
        <f ca="1" t="shared" si="21"/>
        <v>船10054</v>
      </c>
      <c r="T67" t="str">
        <f ca="1" t="shared" si="22"/>
        <v>青岛</v>
      </c>
    </row>
    <row r="68" spans="1:20">
      <c r="A68" s="6">
        <v>44075</v>
      </c>
      <c r="B68">
        <v>100066</v>
      </c>
      <c r="C68" t="str">
        <f t="shared" si="13"/>
        <v>唛头55</v>
      </c>
      <c r="D68" t="str">
        <f t="shared" si="14"/>
        <v>发货公司55</v>
      </c>
      <c r="E68" t="str">
        <f t="shared" si="15"/>
        <v>收货公司55</v>
      </c>
      <c r="F68" t="str">
        <f ca="1" t="array" ref="F68">INDIRECT("aa"&amp;RANDBETWEEN(2,19))</f>
        <v>江苏省</v>
      </c>
      <c r="G68" t="s">
        <v>23</v>
      </c>
      <c r="H68" t="str">
        <f ca="1" t="array" ref="H68">IF(B68=B67,H67,INDIRECT("x"&amp;RANDBETWEEN(2,28)))</f>
        <v>墨西哥</v>
      </c>
      <c r="I68" t="str">
        <f ca="1" t="array" ref="I68">"货物"&amp;INDIRECT("u"&amp;RANDBETWEEN(2,29))</f>
        <v>货物J</v>
      </c>
      <c r="J68">
        <f ca="1" t="shared" si="6"/>
        <v>3949</v>
      </c>
      <c r="K68">
        <f ca="1" t="shared" si="7"/>
        <v>71.9</v>
      </c>
      <c r="L68">
        <f ca="1" t="shared" si="16"/>
        <v>283933.1</v>
      </c>
      <c r="M68">
        <f ca="1" t="shared" si="17"/>
        <v>474</v>
      </c>
      <c r="N68">
        <f ca="1" t="shared" si="18"/>
        <v>13426.6</v>
      </c>
      <c r="O68">
        <f ca="1" t="shared" si="19"/>
        <v>11815.408</v>
      </c>
      <c r="P68">
        <f ca="1" t="shared" si="20"/>
        <v>838.98</v>
      </c>
      <c r="Q68" t="str">
        <f t="shared" si="1"/>
        <v>货代公司A</v>
      </c>
      <c r="R68" t="str">
        <f ca="1" t="array" ref="R68">IF(B68=B67,R67,INDIRECT("z"&amp;RANDBETWEEN(2,4)))</f>
        <v>陆运</v>
      </c>
      <c r="S68" t="str">
        <f ca="1" t="shared" si="21"/>
        <v>陆10055</v>
      </c>
      <c r="T68" t="str">
        <f ca="1" t="shared" si="22"/>
        <v>宁波</v>
      </c>
    </row>
    <row r="69" spans="1:20">
      <c r="A69" s="6">
        <v>44075</v>
      </c>
      <c r="B69">
        <v>100066</v>
      </c>
      <c r="C69" t="str">
        <f t="shared" si="13"/>
        <v>唛头55</v>
      </c>
      <c r="D69" t="str">
        <f t="shared" si="14"/>
        <v>发货公司55</v>
      </c>
      <c r="E69" t="str">
        <f t="shared" si="15"/>
        <v>收货公司55</v>
      </c>
      <c r="F69" t="str">
        <f ca="1" t="array" ref="F69">INDIRECT("aa"&amp;RANDBETWEEN(2,19))</f>
        <v>江苏省</v>
      </c>
      <c r="G69" t="s">
        <v>23</v>
      </c>
      <c r="H69" t="str">
        <f ca="1" t="array" ref="H69">IF(B69=B68,H68,INDIRECT("x"&amp;RANDBETWEEN(2,28)))</f>
        <v>墨西哥</v>
      </c>
      <c r="I69" t="str">
        <f ca="1" t="array" ref="I69">"货物"&amp;INDIRECT("u"&amp;RANDBETWEEN(2,29))</f>
        <v>货物O</v>
      </c>
      <c r="J69">
        <f ca="1" t="shared" si="6"/>
        <v>385</v>
      </c>
      <c r="K69">
        <f ca="1" t="shared" si="7"/>
        <v>88.9</v>
      </c>
      <c r="L69">
        <f ca="1" t="shared" si="16"/>
        <v>34226.5</v>
      </c>
      <c r="M69">
        <f ca="1" t="shared" si="17"/>
        <v>54</v>
      </c>
      <c r="N69">
        <f ca="1" t="shared" si="18"/>
        <v>269.5</v>
      </c>
      <c r="O69">
        <f ca="1" t="shared" si="19"/>
        <v>223.685</v>
      </c>
      <c r="P69">
        <f ca="1" t="shared" si="20"/>
        <v>69.12</v>
      </c>
      <c r="Q69" t="str">
        <f t="shared" si="1"/>
        <v>货代公司A</v>
      </c>
      <c r="R69" t="str">
        <f ca="1" t="array" ref="R69">IF(B69=B68,R68,INDIRECT("z"&amp;RANDBETWEEN(2,4)))</f>
        <v>陆运</v>
      </c>
      <c r="S69" t="str">
        <f ca="1" t="shared" si="21"/>
        <v>陆10055</v>
      </c>
      <c r="T69" t="str">
        <f ca="1" t="shared" si="22"/>
        <v>上海</v>
      </c>
    </row>
    <row r="70" spans="1:20">
      <c r="A70" s="6">
        <v>44075</v>
      </c>
      <c r="B70">
        <v>100068</v>
      </c>
      <c r="C70" t="str">
        <f t="shared" si="13"/>
        <v>唛头56</v>
      </c>
      <c r="D70" t="str">
        <f t="shared" si="14"/>
        <v>发货公司56</v>
      </c>
      <c r="E70" t="str">
        <f t="shared" si="15"/>
        <v>收货公司56</v>
      </c>
      <c r="F70" t="str">
        <f ca="1" t="array" ref="F70">INDIRECT("aa"&amp;RANDBETWEEN(2,19))</f>
        <v>河南省</v>
      </c>
      <c r="G70" t="s">
        <v>23</v>
      </c>
      <c r="H70" t="str">
        <f ca="1" t="array" ref="H70">IF(B70=B69,H69,INDIRECT("x"&amp;RANDBETWEEN(2,28)))</f>
        <v>洪都拉斯</v>
      </c>
      <c r="I70" t="str">
        <f ca="1" t="array" ref="I70">"货物"&amp;INDIRECT("u"&amp;RANDBETWEEN(2,29))</f>
        <v>货物R</v>
      </c>
      <c r="J70">
        <f ca="1" t="shared" si="6"/>
        <v>201</v>
      </c>
      <c r="K70">
        <f ca="1" t="shared" si="7"/>
        <v>47.1</v>
      </c>
      <c r="L70">
        <f ca="1" t="shared" si="16"/>
        <v>9467.1</v>
      </c>
      <c r="M70">
        <f ca="1" t="shared" si="17"/>
        <v>12</v>
      </c>
      <c r="N70">
        <f ca="1" t="shared" si="18"/>
        <v>462.3</v>
      </c>
      <c r="O70">
        <f ca="1" t="shared" si="19"/>
        <v>392.955</v>
      </c>
      <c r="P70">
        <f ca="1" t="shared" si="20"/>
        <v>15.84</v>
      </c>
      <c r="Q70" t="str">
        <f t="shared" si="1"/>
        <v>货代公司A</v>
      </c>
      <c r="R70" t="str">
        <f ca="1" t="array" ref="R70">IF(B70=B69,R69,INDIRECT("z"&amp;RANDBETWEEN(2,4)))</f>
        <v>陆运</v>
      </c>
      <c r="S70" t="str">
        <f ca="1" t="shared" si="21"/>
        <v>陆10056</v>
      </c>
      <c r="T70" t="str">
        <f ca="1" t="shared" si="22"/>
        <v>天津</v>
      </c>
    </row>
    <row r="71" spans="1:20">
      <c r="A71" s="6">
        <v>44075</v>
      </c>
      <c r="B71">
        <v>100069</v>
      </c>
      <c r="C71" t="str">
        <f t="shared" ref="C71:C127" si="23">IF(B71=B70,C70,"唛头"&amp;MID(C70,3,LEN(C70)-2)+1)</f>
        <v>唛头57</v>
      </c>
      <c r="D71" t="str">
        <f t="shared" ref="D71:D127" si="24">IF(B71=B70,D70,"发货公司"&amp;MID(D70,5,LEN(D70)-4)+1)</f>
        <v>发货公司57</v>
      </c>
      <c r="E71" t="str">
        <f t="shared" ref="E71:E127" si="25">IF(B71=B70,E70,"收货公司"&amp;MID(E70,5,LEN(E70)-4)+1)</f>
        <v>收货公司57</v>
      </c>
      <c r="F71" t="str">
        <f ca="1" t="array" ref="F71">INDIRECT("aa"&amp;RANDBETWEEN(2,19))</f>
        <v>山东省</v>
      </c>
      <c r="G71" t="s">
        <v>23</v>
      </c>
      <c r="H71" t="str">
        <f ca="1" t="array" ref="H71">IF(B71=B70,H70,INDIRECT("x"&amp;RANDBETWEEN(2,28)))</f>
        <v>马来西亚</v>
      </c>
      <c r="I71" t="str">
        <f ca="1" t="array" ref="I71">"货物"&amp;INDIRECT("u"&amp;RANDBETWEEN(2,29))</f>
        <v>货物B</v>
      </c>
      <c r="J71">
        <f ca="1" t="shared" si="6"/>
        <v>763</v>
      </c>
      <c r="K71">
        <f ca="1" t="shared" si="7"/>
        <v>90.1</v>
      </c>
      <c r="L71">
        <f ca="1" t="shared" ref="L71:L127" si="26">J71*K71</f>
        <v>68746.3</v>
      </c>
      <c r="M71">
        <f ca="1" t="shared" ref="M71:M127" si="27">ROUND(J71-J71*(RANDBETWEEN(85,95)/100),0)</f>
        <v>46</v>
      </c>
      <c r="N71">
        <f ca="1" t="shared" ref="N71:N127" si="28">J71+J71*(RANDBETWEEN(-10,30)/10)</f>
        <v>2136.4</v>
      </c>
      <c r="O71">
        <f ca="1" t="shared" ref="O71:O127" si="29">N71*(RANDBETWEEN(80,90)/100)</f>
        <v>1709.12</v>
      </c>
      <c r="P71">
        <f ca="1" t="shared" ref="P71:P127" si="30">M71*(RANDBETWEEN(80,200)/100)</f>
        <v>42.32</v>
      </c>
      <c r="Q71" t="str">
        <f t="shared" si="1"/>
        <v>货代公司A</v>
      </c>
      <c r="R71" t="str">
        <f ca="1" t="array" ref="R71">IF(B71=B70,R70,INDIRECT("z"&amp;RANDBETWEEN(2,4)))</f>
        <v>陆运</v>
      </c>
      <c r="S71" t="str">
        <f ca="1" t="shared" ref="S71:S127" si="31">IF(B71=B70,S70,LEFT(R71,1)&amp;MID(S70,2,LEN(S70)-1)+1)</f>
        <v>陆10057</v>
      </c>
      <c r="T71" t="str">
        <f ca="1" t="shared" ref="T71:T127" si="32">VLOOKUP(F71,$AA$2:$AC$19,RANDBETWEEN(2,3),FALSE)</f>
        <v>上海</v>
      </c>
    </row>
    <row r="72" spans="1:20">
      <c r="A72" s="6">
        <v>44075</v>
      </c>
      <c r="B72">
        <v>100070</v>
      </c>
      <c r="C72" t="str">
        <f t="shared" si="23"/>
        <v>唛头58</v>
      </c>
      <c r="D72" t="str">
        <f t="shared" si="24"/>
        <v>发货公司58</v>
      </c>
      <c r="E72" t="str">
        <f t="shared" si="25"/>
        <v>收货公司58</v>
      </c>
      <c r="F72" t="str">
        <f ca="1" t="array" ref="F72">INDIRECT("aa"&amp;RANDBETWEEN(2,19))</f>
        <v>浙江省</v>
      </c>
      <c r="G72" t="s">
        <v>23</v>
      </c>
      <c r="H72" t="str">
        <f ca="1" t="array" ref="H72">IF(B72=B71,H71,INDIRECT("x"&amp;RANDBETWEEN(2,28)))</f>
        <v>老挝</v>
      </c>
      <c r="I72" t="str">
        <f ca="1" t="array" ref="I72">"货物"&amp;INDIRECT("u"&amp;RANDBETWEEN(2,29))</f>
        <v>货物N</v>
      </c>
      <c r="J72">
        <f ca="1" t="shared" si="6"/>
        <v>4562</v>
      </c>
      <c r="K72">
        <f ca="1" t="shared" si="7"/>
        <v>49.5</v>
      </c>
      <c r="L72">
        <f ca="1" t="shared" si="26"/>
        <v>225819</v>
      </c>
      <c r="M72">
        <f ca="1" t="shared" si="27"/>
        <v>274</v>
      </c>
      <c r="N72">
        <f ca="1" t="shared" si="28"/>
        <v>16879.4</v>
      </c>
      <c r="O72">
        <f ca="1" t="shared" si="29"/>
        <v>15191.46</v>
      </c>
      <c r="P72">
        <f ca="1" t="shared" si="30"/>
        <v>235.64</v>
      </c>
      <c r="Q72" t="str">
        <f t="shared" si="1"/>
        <v>货代公司A</v>
      </c>
      <c r="R72" t="str">
        <f ca="1" t="array" ref="R72">IF(B72=B71,R71,INDIRECT("z"&amp;RANDBETWEEN(2,4)))</f>
        <v>陆运</v>
      </c>
      <c r="S72" t="str">
        <f ca="1" t="shared" si="31"/>
        <v>陆10058</v>
      </c>
      <c r="T72" t="str">
        <f ca="1" t="shared" si="32"/>
        <v>上海</v>
      </c>
    </row>
    <row r="73" spans="1:20">
      <c r="A73" s="6">
        <v>44075</v>
      </c>
      <c r="B73">
        <v>100071</v>
      </c>
      <c r="C73" t="str">
        <f t="shared" si="23"/>
        <v>唛头59</v>
      </c>
      <c r="D73" t="str">
        <f t="shared" si="24"/>
        <v>发货公司59</v>
      </c>
      <c r="E73" t="str">
        <f t="shared" si="25"/>
        <v>收货公司59</v>
      </c>
      <c r="F73" t="str">
        <f ca="1" t="array" ref="F73">INDIRECT("aa"&amp;RANDBETWEEN(2,19))</f>
        <v>吉林省</v>
      </c>
      <c r="G73" t="s">
        <v>23</v>
      </c>
      <c r="H73" t="str">
        <f ca="1" t="array" ref="H73">IF(B73=B72,H72,INDIRECT("x"&amp;RANDBETWEEN(2,28)))</f>
        <v>日本</v>
      </c>
      <c r="I73" t="str">
        <f ca="1" t="array" ref="I73">"货物"&amp;INDIRECT("u"&amp;RANDBETWEEN(2,29))</f>
        <v>货物G</v>
      </c>
      <c r="J73">
        <f ca="1" t="shared" si="6"/>
        <v>2496</v>
      </c>
      <c r="K73">
        <f ca="1" t="shared" si="7"/>
        <v>53.8</v>
      </c>
      <c r="L73">
        <f ca="1" t="shared" si="26"/>
        <v>134284.8</v>
      </c>
      <c r="M73">
        <f ca="1" t="shared" si="27"/>
        <v>324</v>
      </c>
      <c r="N73">
        <f ca="1" t="shared" si="28"/>
        <v>5990.4</v>
      </c>
      <c r="O73">
        <f ca="1" t="shared" si="29"/>
        <v>4972.032</v>
      </c>
      <c r="P73">
        <f ca="1" t="shared" si="30"/>
        <v>502.2</v>
      </c>
      <c r="Q73" t="str">
        <f t="shared" si="1"/>
        <v>货代公司A</v>
      </c>
      <c r="R73" t="str">
        <f ca="1" t="array" ref="R73">IF(B73=B72,R72,INDIRECT("z"&amp;RANDBETWEEN(2,4)))</f>
        <v>船运</v>
      </c>
      <c r="S73" t="str">
        <f ca="1" t="shared" si="31"/>
        <v>船10059</v>
      </c>
      <c r="T73" t="str">
        <f ca="1" t="shared" si="32"/>
        <v>天津</v>
      </c>
    </row>
    <row r="74" spans="1:20">
      <c r="A74" s="6">
        <v>44075</v>
      </c>
      <c r="B74">
        <v>100072</v>
      </c>
      <c r="C74" t="str">
        <f t="shared" si="23"/>
        <v>唛头60</v>
      </c>
      <c r="D74" t="str">
        <f t="shared" si="24"/>
        <v>发货公司60</v>
      </c>
      <c r="E74" t="str">
        <f t="shared" si="25"/>
        <v>收货公司60</v>
      </c>
      <c r="F74" t="str">
        <f ca="1" t="array" ref="F74">INDIRECT("aa"&amp;RANDBETWEEN(2,19))</f>
        <v>河北省</v>
      </c>
      <c r="G74" t="s">
        <v>23</v>
      </c>
      <c r="H74" t="str">
        <f ca="1" t="array" ref="H74">IF(B74=B73,H73,INDIRECT("x"&amp;RANDBETWEEN(2,28)))</f>
        <v>老挝</v>
      </c>
      <c r="I74" t="str">
        <f ca="1" t="array" ref="I74">"货物"&amp;INDIRECT("u"&amp;RANDBETWEEN(2,29))</f>
        <v>货物W</v>
      </c>
      <c r="J74">
        <f ca="1" t="shared" si="6"/>
        <v>406</v>
      </c>
      <c r="K74">
        <f ca="1" t="shared" si="7"/>
        <v>79.1</v>
      </c>
      <c r="L74">
        <f ca="1" t="shared" si="26"/>
        <v>32114.6</v>
      </c>
      <c r="M74">
        <f ca="1" t="shared" si="27"/>
        <v>45</v>
      </c>
      <c r="N74">
        <f ca="1" t="shared" si="28"/>
        <v>1258.6</v>
      </c>
      <c r="O74">
        <f ca="1" t="shared" si="29"/>
        <v>1019.466</v>
      </c>
      <c r="P74">
        <f ca="1" t="shared" si="30"/>
        <v>45</v>
      </c>
      <c r="Q74" t="str">
        <f t="shared" si="1"/>
        <v>货代公司A</v>
      </c>
      <c r="R74" t="str">
        <f ca="1" t="array" ref="R74">IF(B74=B73,R73,INDIRECT("z"&amp;RANDBETWEEN(2,4)))</f>
        <v>空运</v>
      </c>
      <c r="S74" t="str">
        <f ca="1" t="shared" si="31"/>
        <v>空10060</v>
      </c>
      <c r="T74" t="str">
        <f ca="1" t="shared" si="32"/>
        <v>天津</v>
      </c>
    </row>
    <row r="75" spans="1:20">
      <c r="A75" s="6">
        <v>44075</v>
      </c>
      <c r="B75">
        <v>100073</v>
      </c>
      <c r="C75" t="str">
        <f t="shared" si="23"/>
        <v>唛头61</v>
      </c>
      <c r="D75" t="str">
        <f t="shared" si="24"/>
        <v>发货公司61</v>
      </c>
      <c r="E75" t="str">
        <f t="shared" si="25"/>
        <v>收货公司61</v>
      </c>
      <c r="F75" t="str">
        <f ca="1" t="array" ref="F75">INDIRECT("aa"&amp;RANDBETWEEN(2,19))</f>
        <v>山东省</v>
      </c>
      <c r="G75" t="s">
        <v>23</v>
      </c>
      <c r="H75" t="str">
        <f ca="1" t="array" ref="H75">IF(B75=B74,H74,INDIRECT("x"&amp;RANDBETWEEN(2,28)))</f>
        <v>越南</v>
      </c>
      <c r="I75" t="str">
        <f ca="1" t="array" ref="I75">"货物"&amp;INDIRECT("u"&amp;RANDBETWEEN(2,29))</f>
        <v>货物N</v>
      </c>
      <c r="J75">
        <f ca="1" t="shared" si="6"/>
        <v>145</v>
      </c>
      <c r="K75">
        <f ca="1" t="shared" si="7"/>
        <v>17</v>
      </c>
      <c r="L75">
        <f ca="1" t="shared" si="26"/>
        <v>2465</v>
      </c>
      <c r="M75">
        <f ca="1" t="shared" si="27"/>
        <v>22</v>
      </c>
      <c r="N75">
        <f ca="1" t="shared" si="28"/>
        <v>116</v>
      </c>
      <c r="O75">
        <f ca="1" t="shared" si="29"/>
        <v>98.6</v>
      </c>
      <c r="P75">
        <f ca="1" t="shared" si="30"/>
        <v>21.34</v>
      </c>
      <c r="Q75" t="str">
        <f t="shared" si="1"/>
        <v>货代公司A</v>
      </c>
      <c r="R75" t="str">
        <f ca="1" t="array" ref="R75">IF(B75=B74,R74,INDIRECT("z"&amp;RANDBETWEEN(2,4)))</f>
        <v>空运</v>
      </c>
      <c r="S75" t="str">
        <f ca="1" t="shared" si="31"/>
        <v>空10061</v>
      </c>
      <c r="T75" t="str">
        <f ca="1" t="shared" si="32"/>
        <v>上海</v>
      </c>
    </row>
    <row r="76" spans="1:20">
      <c r="A76" s="6">
        <v>44075</v>
      </c>
      <c r="B76">
        <v>100073</v>
      </c>
      <c r="C76" t="str">
        <f t="shared" si="23"/>
        <v>唛头61</v>
      </c>
      <c r="D76" t="str">
        <f t="shared" si="24"/>
        <v>发货公司61</v>
      </c>
      <c r="E76" t="str">
        <f t="shared" si="25"/>
        <v>收货公司61</v>
      </c>
      <c r="F76" t="str">
        <f ca="1" t="array" ref="F76">INDIRECT("aa"&amp;RANDBETWEEN(2,19))</f>
        <v>福建省</v>
      </c>
      <c r="G76" t="s">
        <v>23</v>
      </c>
      <c r="H76" t="str">
        <f ca="1" t="array" ref="H76">IF(B76=B75,H75,INDIRECT("x"&amp;RANDBETWEEN(2,28)))</f>
        <v>越南</v>
      </c>
      <c r="I76" t="str">
        <f ca="1" t="array" ref="I76">"货物"&amp;INDIRECT("u"&amp;RANDBETWEEN(2,29))</f>
        <v>货物I</v>
      </c>
      <c r="J76">
        <f ca="1" t="shared" si="6"/>
        <v>2421</v>
      </c>
      <c r="K76">
        <f ca="1" t="shared" si="7"/>
        <v>12.2</v>
      </c>
      <c r="L76">
        <f ca="1" t="shared" si="26"/>
        <v>29536.2</v>
      </c>
      <c r="M76">
        <f ca="1" t="shared" si="27"/>
        <v>339</v>
      </c>
      <c r="N76">
        <f ca="1" t="shared" si="28"/>
        <v>2663.1</v>
      </c>
      <c r="O76">
        <f ca="1" t="shared" si="29"/>
        <v>2157.111</v>
      </c>
      <c r="P76">
        <f ca="1" t="shared" si="30"/>
        <v>457.65</v>
      </c>
      <c r="Q76" t="str">
        <f t="shared" si="1"/>
        <v>货代公司A</v>
      </c>
      <c r="R76" t="str">
        <f ca="1" t="array" ref="R76">IF(B76=B75,R75,INDIRECT("z"&amp;RANDBETWEEN(2,4)))</f>
        <v>空运</v>
      </c>
      <c r="S76" t="str">
        <f ca="1" t="shared" si="31"/>
        <v>空10061</v>
      </c>
      <c r="T76" t="str">
        <f ca="1" t="shared" si="32"/>
        <v>佛山</v>
      </c>
    </row>
    <row r="77" spans="1:20">
      <c r="A77" s="6">
        <v>44075</v>
      </c>
      <c r="B77">
        <v>100073</v>
      </c>
      <c r="C77" t="str">
        <f t="shared" si="23"/>
        <v>唛头61</v>
      </c>
      <c r="D77" t="str">
        <f t="shared" si="24"/>
        <v>发货公司61</v>
      </c>
      <c r="E77" t="str">
        <f t="shared" si="25"/>
        <v>收货公司61</v>
      </c>
      <c r="F77" t="str">
        <f ca="1" t="array" ref="F77">INDIRECT("aa"&amp;RANDBETWEEN(2,19))</f>
        <v>河北省</v>
      </c>
      <c r="G77" t="s">
        <v>23</v>
      </c>
      <c r="H77" t="str">
        <f ca="1" t="array" ref="H77">IF(B77=B76,H76,INDIRECT("x"&amp;RANDBETWEEN(2,28)))</f>
        <v>越南</v>
      </c>
      <c r="I77" t="str">
        <f ca="1" t="array" ref="I77">"货物"&amp;INDIRECT("u"&amp;RANDBETWEEN(2,29))</f>
        <v>货物R</v>
      </c>
      <c r="J77">
        <f ca="1" t="shared" si="6"/>
        <v>2067</v>
      </c>
      <c r="K77">
        <f ca="1" t="shared" si="7"/>
        <v>7.1</v>
      </c>
      <c r="L77">
        <f ca="1" t="shared" si="26"/>
        <v>14675.7</v>
      </c>
      <c r="M77">
        <f ca="1" t="shared" si="27"/>
        <v>248</v>
      </c>
      <c r="N77">
        <f ca="1" t="shared" si="28"/>
        <v>3513.9</v>
      </c>
      <c r="O77">
        <f ca="1" t="shared" si="29"/>
        <v>2846.259</v>
      </c>
      <c r="P77">
        <f ca="1" t="shared" si="30"/>
        <v>416.64</v>
      </c>
      <c r="Q77" t="str">
        <f t="shared" si="1"/>
        <v>货代公司A</v>
      </c>
      <c r="R77" t="str">
        <f ca="1" t="array" ref="R77">IF(B77=B76,R76,INDIRECT("z"&amp;RANDBETWEEN(2,4)))</f>
        <v>空运</v>
      </c>
      <c r="S77" t="str">
        <f ca="1" t="shared" si="31"/>
        <v>空10061</v>
      </c>
      <c r="T77" t="str">
        <f ca="1" t="shared" si="32"/>
        <v>天津</v>
      </c>
    </row>
    <row r="78" spans="1:20">
      <c r="A78" s="6">
        <v>44075</v>
      </c>
      <c r="B78">
        <v>100076</v>
      </c>
      <c r="C78" t="str">
        <f t="shared" si="23"/>
        <v>唛头62</v>
      </c>
      <c r="D78" t="str">
        <f t="shared" si="24"/>
        <v>发货公司62</v>
      </c>
      <c r="E78" t="str">
        <f t="shared" si="25"/>
        <v>收货公司62</v>
      </c>
      <c r="F78" t="str">
        <f ca="1" t="array" ref="F78">INDIRECT("aa"&amp;RANDBETWEEN(2,19))</f>
        <v>福建省</v>
      </c>
      <c r="G78" t="s">
        <v>23</v>
      </c>
      <c r="H78" t="str">
        <f ca="1" t="array" ref="H78">IF(B78=B77,H77,INDIRECT("x"&amp;RANDBETWEEN(2,28)))</f>
        <v>洪都拉斯</v>
      </c>
      <c r="I78" t="str">
        <f ca="1" t="array" ref="I78">"货物"&amp;INDIRECT("u"&amp;RANDBETWEEN(2,29))</f>
        <v>货物T</v>
      </c>
      <c r="J78">
        <f ca="1" t="shared" si="6"/>
        <v>3855</v>
      </c>
      <c r="K78">
        <f ca="1" t="shared" si="7"/>
        <v>15.3</v>
      </c>
      <c r="L78">
        <f ca="1" t="shared" si="26"/>
        <v>58981.5</v>
      </c>
      <c r="M78">
        <f ca="1" t="shared" si="27"/>
        <v>424</v>
      </c>
      <c r="N78">
        <f ca="1" t="shared" si="28"/>
        <v>1542</v>
      </c>
      <c r="O78">
        <f ca="1" t="shared" si="29"/>
        <v>1249.02</v>
      </c>
      <c r="P78">
        <f ca="1" t="shared" si="30"/>
        <v>424</v>
      </c>
      <c r="Q78" t="str">
        <f t="shared" si="1"/>
        <v>货代公司A</v>
      </c>
      <c r="R78" t="str">
        <f ca="1" t="array" ref="R78">IF(B78=B77,R77,INDIRECT("z"&amp;RANDBETWEEN(2,4)))</f>
        <v>船运</v>
      </c>
      <c r="S78" t="str">
        <f ca="1" t="shared" si="31"/>
        <v>船10062</v>
      </c>
      <c r="T78" t="str">
        <f ca="1" t="shared" si="32"/>
        <v>佛山</v>
      </c>
    </row>
    <row r="79" spans="1:20">
      <c r="A79" s="6">
        <v>44075</v>
      </c>
      <c r="B79">
        <v>100077</v>
      </c>
      <c r="C79" t="str">
        <f t="shared" si="23"/>
        <v>唛头63</v>
      </c>
      <c r="D79" t="str">
        <f t="shared" si="24"/>
        <v>发货公司63</v>
      </c>
      <c r="E79" t="str">
        <f t="shared" si="25"/>
        <v>收货公司63</v>
      </c>
      <c r="F79" t="str">
        <f ca="1" t="array" ref="F79">INDIRECT("aa"&amp;RANDBETWEEN(2,19))</f>
        <v>湖南省</v>
      </c>
      <c r="G79" t="s">
        <v>23</v>
      </c>
      <c r="H79" t="str">
        <f ca="1" t="array" ref="H79">IF(B79=B78,H78,INDIRECT("x"&amp;RANDBETWEEN(2,28)))</f>
        <v>马来西亚</v>
      </c>
      <c r="I79" t="str">
        <f ca="1" t="array" ref="I79">"货物"&amp;INDIRECT("u"&amp;RANDBETWEEN(2,29))</f>
        <v>货物H</v>
      </c>
      <c r="J79">
        <f ca="1" t="shared" si="6"/>
        <v>1589</v>
      </c>
      <c r="K79">
        <f ca="1" t="shared" si="7"/>
        <v>30.2</v>
      </c>
      <c r="L79">
        <f ca="1" t="shared" si="26"/>
        <v>47987.8</v>
      </c>
      <c r="M79">
        <f ca="1" t="shared" si="27"/>
        <v>79</v>
      </c>
      <c r="N79">
        <f ca="1" t="shared" si="28"/>
        <v>1589</v>
      </c>
      <c r="O79">
        <f ca="1" t="shared" si="29"/>
        <v>1430.1</v>
      </c>
      <c r="P79">
        <f ca="1" t="shared" si="30"/>
        <v>79</v>
      </c>
      <c r="Q79" t="str">
        <f t="shared" si="1"/>
        <v>货代公司A</v>
      </c>
      <c r="R79" t="str">
        <f ca="1" t="array" ref="R79">IF(B79=B78,R78,INDIRECT("z"&amp;RANDBETWEEN(2,4)))</f>
        <v>船运</v>
      </c>
      <c r="S79" t="str">
        <f ca="1" t="shared" si="31"/>
        <v>船10063</v>
      </c>
      <c r="T79" t="str">
        <f ca="1" t="shared" si="32"/>
        <v>上海</v>
      </c>
    </row>
    <row r="80" spans="1:20">
      <c r="A80" s="6">
        <v>44075</v>
      </c>
      <c r="B80">
        <v>100078</v>
      </c>
      <c r="C80" t="str">
        <f t="shared" si="23"/>
        <v>唛头64</v>
      </c>
      <c r="D80" t="str">
        <f t="shared" si="24"/>
        <v>发货公司64</v>
      </c>
      <c r="E80" t="str">
        <f t="shared" si="25"/>
        <v>收货公司64</v>
      </c>
      <c r="F80" t="str">
        <f ca="1" t="array" ref="F80">INDIRECT("aa"&amp;RANDBETWEEN(2,19))</f>
        <v>云南省</v>
      </c>
      <c r="G80" t="s">
        <v>23</v>
      </c>
      <c r="H80" t="str">
        <f ca="1" t="array" ref="H80">IF(B80=B79,H79,INDIRECT("x"&amp;RANDBETWEEN(2,28)))</f>
        <v>吉尔吉斯斯坦</v>
      </c>
      <c r="I80" t="str">
        <f ca="1" t="array" ref="I80">"货物"&amp;INDIRECT("u"&amp;RANDBETWEEN(2,29))</f>
        <v>货物M</v>
      </c>
      <c r="J80">
        <f ca="1" t="shared" si="6"/>
        <v>4631</v>
      </c>
      <c r="K80">
        <f ca="1" t="shared" si="7"/>
        <v>45.2</v>
      </c>
      <c r="L80">
        <f ca="1" t="shared" si="26"/>
        <v>209321.2</v>
      </c>
      <c r="M80">
        <f ca="1" t="shared" si="27"/>
        <v>602</v>
      </c>
      <c r="N80">
        <f ca="1" t="shared" si="28"/>
        <v>1389.3</v>
      </c>
      <c r="O80">
        <f ca="1" t="shared" si="29"/>
        <v>1167.012</v>
      </c>
      <c r="P80">
        <f ca="1" t="shared" si="30"/>
        <v>1113.7</v>
      </c>
      <c r="Q80" t="str">
        <f t="shared" si="1"/>
        <v>货代公司A</v>
      </c>
      <c r="R80" t="str">
        <f ca="1" t="array" ref="R80">IF(B80=B79,R79,INDIRECT("z"&amp;RANDBETWEEN(2,4)))</f>
        <v>船运</v>
      </c>
      <c r="S80" t="str">
        <f ca="1" t="shared" si="31"/>
        <v>船10064</v>
      </c>
      <c r="T80" t="str">
        <f ca="1" t="shared" si="32"/>
        <v>佛山</v>
      </c>
    </row>
    <row r="81" spans="1:20">
      <c r="A81" s="6">
        <v>44075</v>
      </c>
      <c r="B81">
        <v>100079</v>
      </c>
      <c r="C81" t="str">
        <f t="shared" si="23"/>
        <v>唛头65</v>
      </c>
      <c r="D81" t="str">
        <f t="shared" si="24"/>
        <v>发货公司65</v>
      </c>
      <c r="E81" t="str">
        <f t="shared" si="25"/>
        <v>收货公司65</v>
      </c>
      <c r="F81" t="str">
        <f ca="1" t="array" ref="F81">INDIRECT("aa"&amp;RANDBETWEEN(2,19))</f>
        <v>辽宁省</v>
      </c>
      <c r="G81" t="s">
        <v>23</v>
      </c>
      <c r="H81" t="str">
        <f ca="1" t="array" ref="H81">IF(B81=B80,H80,INDIRECT("x"&amp;RANDBETWEEN(2,28)))</f>
        <v>泰国</v>
      </c>
      <c r="I81" t="str">
        <f ca="1" t="array" ref="I81">"货物"&amp;INDIRECT("u"&amp;RANDBETWEEN(2,29))</f>
        <v>货物T</v>
      </c>
      <c r="J81">
        <f ca="1" t="shared" si="6"/>
        <v>3411</v>
      </c>
      <c r="K81">
        <f ca="1" t="shared" si="7"/>
        <v>55.2</v>
      </c>
      <c r="L81">
        <f ca="1" t="shared" si="26"/>
        <v>188287.2</v>
      </c>
      <c r="M81">
        <f ca="1" t="shared" si="27"/>
        <v>273</v>
      </c>
      <c r="N81">
        <f ca="1" t="shared" si="28"/>
        <v>341.1</v>
      </c>
      <c r="O81">
        <f ca="1" t="shared" si="29"/>
        <v>276.291</v>
      </c>
      <c r="P81">
        <f ca="1" t="shared" si="30"/>
        <v>333.06</v>
      </c>
      <c r="Q81" t="str">
        <f t="shared" si="1"/>
        <v>货代公司A</v>
      </c>
      <c r="R81" t="str">
        <f ca="1" t="array" ref="R81">IF(B81=B80,R80,INDIRECT("z"&amp;RANDBETWEEN(2,4)))</f>
        <v>空运</v>
      </c>
      <c r="S81" t="str">
        <f ca="1" t="shared" si="31"/>
        <v>空10065</v>
      </c>
      <c r="T81" t="str">
        <f ca="1" t="shared" si="32"/>
        <v>天津</v>
      </c>
    </row>
    <row r="82" spans="1:20">
      <c r="A82" s="6">
        <v>44075</v>
      </c>
      <c r="B82">
        <v>100080</v>
      </c>
      <c r="C82" t="str">
        <f t="shared" si="23"/>
        <v>唛头66</v>
      </c>
      <c r="D82" t="str">
        <f t="shared" si="24"/>
        <v>发货公司66</v>
      </c>
      <c r="E82" t="str">
        <f t="shared" si="25"/>
        <v>收货公司66</v>
      </c>
      <c r="F82" t="str">
        <f ca="1" t="array" ref="F82">INDIRECT("aa"&amp;RANDBETWEEN(2,19))</f>
        <v>河北省</v>
      </c>
      <c r="G82" t="s">
        <v>23</v>
      </c>
      <c r="H82" t="str">
        <f ca="1" t="array" ref="H82">IF(B82=B81,H81,INDIRECT("x"&amp;RANDBETWEEN(2,28)))</f>
        <v>斯洛伐克</v>
      </c>
      <c r="I82" t="str">
        <f ca="1" t="array" ref="I82">"货物"&amp;INDIRECT("u"&amp;RANDBETWEEN(2,29))</f>
        <v>货物E</v>
      </c>
      <c r="J82">
        <f ca="1" t="shared" si="6"/>
        <v>408</v>
      </c>
      <c r="K82">
        <f ca="1" t="shared" si="7"/>
        <v>85.5</v>
      </c>
      <c r="L82">
        <f ca="1" t="shared" si="26"/>
        <v>34884</v>
      </c>
      <c r="M82">
        <f ca="1" t="shared" si="27"/>
        <v>37</v>
      </c>
      <c r="N82">
        <f ca="1" t="shared" si="28"/>
        <v>734.4</v>
      </c>
      <c r="O82">
        <f ca="1" t="shared" si="29"/>
        <v>660.96</v>
      </c>
      <c r="P82">
        <f ca="1" t="shared" si="30"/>
        <v>61.05</v>
      </c>
      <c r="Q82" t="str">
        <f t="shared" si="1"/>
        <v>货代公司A</v>
      </c>
      <c r="R82" t="str">
        <f ca="1" t="array" ref="R82">IF(B82=B81,R81,INDIRECT("z"&amp;RANDBETWEEN(2,4)))</f>
        <v>陆运</v>
      </c>
      <c r="S82" t="str">
        <f ca="1" t="shared" si="31"/>
        <v>陆10066</v>
      </c>
      <c r="T82" t="str">
        <f ca="1" t="shared" si="32"/>
        <v>青岛</v>
      </c>
    </row>
    <row r="83" spans="1:20">
      <c r="A83" s="6">
        <v>44075</v>
      </c>
      <c r="B83">
        <v>100081</v>
      </c>
      <c r="C83" t="str">
        <f t="shared" si="23"/>
        <v>唛头67</v>
      </c>
      <c r="D83" t="str">
        <f t="shared" si="24"/>
        <v>发货公司67</v>
      </c>
      <c r="E83" t="str">
        <f t="shared" si="25"/>
        <v>收货公司67</v>
      </c>
      <c r="F83" t="str">
        <f ca="1" t="array" ref="F83">INDIRECT("aa"&amp;RANDBETWEEN(2,19))</f>
        <v>安徽省</v>
      </c>
      <c r="G83" t="s">
        <v>23</v>
      </c>
      <c r="H83" t="str">
        <f ca="1" t="array" ref="H83">IF(B83=B82,H82,INDIRECT("x"&amp;RANDBETWEEN(2,28)))</f>
        <v>塔吉克斯坦</v>
      </c>
      <c r="I83" t="str">
        <f ca="1" t="array" ref="I83">"货物"&amp;INDIRECT("u"&amp;RANDBETWEEN(2,29))</f>
        <v>货物A</v>
      </c>
      <c r="J83">
        <f ca="1" t="shared" si="6"/>
        <v>2343</v>
      </c>
      <c r="K83">
        <f ca="1" t="shared" si="7"/>
        <v>45.9</v>
      </c>
      <c r="L83">
        <f ca="1" t="shared" si="26"/>
        <v>107543.7</v>
      </c>
      <c r="M83">
        <f ca="1" t="shared" si="27"/>
        <v>187</v>
      </c>
      <c r="N83">
        <f ca="1" t="shared" si="28"/>
        <v>1405.8</v>
      </c>
      <c r="O83">
        <f ca="1" t="shared" si="29"/>
        <v>1180.872</v>
      </c>
      <c r="P83">
        <f ca="1" t="shared" si="30"/>
        <v>157.08</v>
      </c>
      <c r="Q83" t="str">
        <f t="shared" si="1"/>
        <v>货代公司A</v>
      </c>
      <c r="R83" t="str">
        <f ca="1" t="array" ref="R83">IF(B83=B82,R82,INDIRECT("z"&amp;RANDBETWEEN(2,4)))</f>
        <v>空运</v>
      </c>
      <c r="S83" t="str">
        <f ca="1" t="shared" si="31"/>
        <v>空10067</v>
      </c>
      <c r="T83" t="str">
        <f ca="1" t="shared" si="32"/>
        <v>宁波</v>
      </c>
    </row>
    <row r="84" spans="1:20">
      <c r="A84" s="6">
        <v>44075</v>
      </c>
      <c r="B84">
        <v>100082</v>
      </c>
      <c r="C84" t="str">
        <f t="shared" si="23"/>
        <v>唛头68</v>
      </c>
      <c r="D84" t="str">
        <f t="shared" si="24"/>
        <v>发货公司68</v>
      </c>
      <c r="E84" t="str">
        <f t="shared" si="25"/>
        <v>收货公司68</v>
      </c>
      <c r="F84" t="str">
        <f ca="1" t="array" ref="F84">INDIRECT("aa"&amp;RANDBETWEEN(2,19))</f>
        <v>山西省</v>
      </c>
      <c r="G84" t="s">
        <v>23</v>
      </c>
      <c r="H84" t="str">
        <f ca="1" t="array" ref="H84">IF(B84=B83,H83,INDIRECT("x"&amp;RANDBETWEEN(2,28)))</f>
        <v>墨西哥</v>
      </c>
      <c r="I84" t="str">
        <f ca="1" t="array" ref="I84">"货物"&amp;INDIRECT("u"&amp;RANDBETWEEN(2,29))</f>
        <v>货物J</v>
      </c>
      <c r="J84">
        <f ca="1" t="shared" si="6"/>
        <v>692</v>
      </c>
      <c r="K84">
        <f ca="1" t="shared" si="7"/>
        <v>36.3</v>
      </c>
      <c r="L84">
        <f ca="1" t="shared" si="26"/>
        <v>25119.6</v>
      </c>
      <c r="M84">
        <f ca="1" t="shared" si="27"/>
        <v>35</v>
      </c>
      <c r="N84">
        <f ca="1" t="shared" si="28"/>
        <v>2422</v>
      </c>
      <c r="O84">
        <f ca="1" t="shared" si="29"/>
        <v>2034.48</v>
      </c>
      <c r="P84">
        <f ca="1" t="shared" si="30"/>
        <v>33.95</v>
      </c>
      <c r="Q84" t="str">
        <f t="shared" si="1"/>
        <v>货代公司A</v>
      </c>
      <c r="R84" t="str">
        <f ca="1" t="array" ref="R84">IF(B84=B83,R83,INDIRECT("z"&amp;RANDBETWEEN(2,4)))</f>
        <v>船运</v>
      </c>
      <c r="S84" t="str">
        <f ca="1" t="shared" si="31"/>
        <v>船10068</v>
      </c>
      <c r="T84" t="str">
        <f ca="1" t="shared" si="32"/>
        <v>青岛</v>
      </c>
    </row>
    <row r="85" spans="1:20">
      <c r="A85" s="6">
        <v>44075</v>
      </c>
      <c r="B85">
        <v>100083</v>
      </c>
      <c r="C85" t="str">
        <f t="shared" si="23"/>
        <v>唛头69</v>
      </c>
      <c r="D85" t="str">
        <f t="shared" si="24"/>
        <v>发货公司69</v>
      </c>
      <c r="E85" t="str">
        <f t="shared" si="25"/>
        <v>收货公司69</v>
      </c>
      <c r="F85" t="str">
        <f ca="1" t="array" ref="F85">INDIRECT("aa"&amp;RANDBETWEEN(2,19))</f>
        <v>黑龙江省</v>
      </c>
      <c r="G85" t="s">
        <v>23</v>
      </c>
      <c r="H85" t="str">
        <f ca="1" t="array" ref="H85">IF(B85=B84,H84,INDIRECT("x"&amp;RANDBETWEEN(2,28)))</f>
        <v>文莱</v>
      </c>
      <c r="I85" t="str">
        <f ca="1" t="array" ref="I85">"货物"&amp;INDIRECT("u"&amp;RANDBETWEEN(2,29))</f>
        <v>货物B</v>
      </c>
      <c r="J85">
        <f ca="1" t="shared" si="6"/>
        <v>4131</v>
      </c>
      <c r="K85">
        <f ca="1" t="shared" si="7"/>
        <v>36</v>
      </c>
      <c r="L85">
        <f ca="1" t="shared" si="26"/>
        <v>148716</v>
      </c>
      <c r="M85">
        <f ca="1" t="shared" si="27"/>
        <v>372</v>
      </c>
      <c r="N85">
        <f ca="1" t="shared" si="28"/>
        <v>1652.4</v>
      </c>
      <c r="O85">
        <f ca="1" t="shared" si="29"/>
        <v>1470.636</v>
      </c>
      <c r="P85">
        <f ca="1" t="shared" si="30"/>
        <v>465</v>
      </c>
      <c r="Q85" t="str">
        <f t="shared" si="1"/>
        <v>货代公司A</v>
      </c>
      <c r="R85" t="str">
        <f ca="1" t="array" ref="R85">IF(B85=B84,R84,INDIRECT("z"&amp;RANDBETWEEN(2,4)))</f>
        <v>空运</v>
      </c>
      <c r="S85" t="str">
        <f ca="1" t="shared" si="31"/>
        <v>空10069</v>
      </c>
      <c r="T85" t="str">
        <f ca="1" t="shared" si="32"/>
        <v>青岛</v>
      </c>
    </row>
    <row r="86" spans="1:20">
      <c r="A86" s="6">
        <v>44075</v>
      </c>
      <c r="B86">
        <v>100084</v>
      </c>
      <c r="C86" t="str">
        <f t="shared" si="23"/>
        <v>唛头70</v>
      </c>
      <c r="D86" t="str">
        <f t="shared" si="24"/>
        <v>发货公司70</v>
      </c>
      <c r="E86" t="str">
        <f t="shared" si="25"/>
        <v>收货公司70</v>
      </c>
      <c r="F86" t="str">
        <f ca="1" t="array" ref="F86">INDIRECT("aa"&amp;RANDBETWEEN(2,19))</f>
        <v>山东省</v>
      </c>
      <c r="G86" t="s">
        <v>23</v>
      </c>
      <c r="H86" t="str">
        <f ca="1" t="array" ref="H86">IF(B86=B85,H85,INDIRECT("x"&amp;RANDBETWEEN(2,28)))</f>
        <v>波兰</v>
      </c>
      <c r="I86" t="str">
        <f ca="1" t="array" ref="I86">"货物"&amp;INDIRECT("u"&amp;RANDBETWEEN(2,29))</f>
        <v>货物Q</v>
      </c>
      <c r="J86">
        <f ca="1" t="shared" si="6"/>
        <v>3876</v>
      </c>
      <c r="K86">
        <f ca="1" t="shared" si="7"/>
        <v>92.3</v>
      </c>
      <c r="L86">
        <f ca="1" t="shared" si="26"/>
        <v>357754.8</v>
      </c>
      <c r="M86">
        <f ca="1" t="shared" si="27"/>
        <v>233</v>
      </c>
      <c r="N86">
        <f ca="1" t="shared" si="28"/>
        <v>11240.4</v>
      </c>
      <c r="O86">
        <f ca="1" t="shared" si="29"/>
        <v>8992.32</v>
      </c>
      <c r="P86">
        <f ca="1" t="shared" si="30"/>
        <v>358.82</v>
      </c>
      <c r="Q86" t="str">
        <f t="shared" si="1"/>
        <v>货代公司A</v>
      </c>
      <c r="R86" t="str">
        <f ca="1" t="array" ref="R86">IF(B86=B85,R85,INDIRECT("z"&amp;RANDBETWEEN(2,4)))</f>
        <v>空运</v>
      </c>
      <c r="S86" t="str">
        <f ca="1" t="shared" si="31"/>
        <v>空10070</v>
      </c>
      <c r="T86" t="str">
        <f ca="1" t="shared" si="32"/>
        <v>青岛</v>
      </c>
    </row>
    <row r="87" spans="1:20">
      <c r="A87" s="6">
        <v>44075</v>
      </c>
      <c r="B87">
        <v>100085</v>
      </c>
      <c r="C87" t="str">
        <f t="shared" si="23"/>
        <v>唛头71</v>
      </c>
      <c r="D87" t="str">
        <f t="shared" si="24"/>
        <v>发货公司71</v>
      </c>
      <c r="E87" t="str">
        <f t="shared" si="25"/>
        <v>收货公司71</v>
      </c>
      <c r="F87" t="str">
        <f ca="1" t="array" ref="F87">INDIRECT("aa"&amp;RANDBETWEEN(2,19))</f>
        <v>湖北省</v>
      </c>
      <c r="G87" t="s">
        <v>23</v>
      </c>
      <c r="H87" t="str">
        <f ca="1" t="array" ref="H87">IF(B87=B86,H86,INDIRECT("x"&amp;RANDBETWEEN(2,28)))</f>
        <v>美国</v>
      </c>
      <c r="I87" t="str">
        <f ca="1" t="array" ref="I87">"货物"&amp;INDIRECT("u"&amp;RANDBETWEEN(2,29))</f>
        <v>货物X</v>
      </c>
      <c r="J87">
        <f ca="1" t="shared" si="6"/>
        <v>1718</v>
      </c>
      <c r="K87">
        <f ca="1" t="shared" si="7"/>
        <v>21.9</v>
      </c>
      <c r="L87">
        <f ca="1" t="shared" si="26"/>
        <v>37624.2</v>
      </c>
      <c r="M87">
        <f ca="1" t="shared" si="27"/>
        <v>137</v>
      </c>
      <c r="N87">
        <f ca="1" t="shared" si="28"/>
        <v>6700.2</v>
      </c>
      <c r="O87">
        <f ca="1" t="shared" si="29"/>
        <v>5360.16</v>
      </c>
      <c r="P87">
        <f ca="1" t="shared" si="30"/>
        <v>264.41</v>
      </c>
      <c r="Q87" t="str">
        <f t="shared" si="1"/>
        <v>货代公司A</v>
      </c>
      <c r="R87" t="str">
        <f ca="1" t="array" ref="R87">IF(B87=B86,R86,INDIRECT("z"&amp;RANDBETWEEN(2,4)))</f>
        <v>陆运</v>
      </c>
      <c r="S87" t="str">
        <f ca="1" t="shared" si="31"/>
        <v>陆10071</v>
      </c>
      <c r="T87" t="str">
        <f ca="1" t="shared" si="32"/>
        <v>上海</v>
      </c>
    </row>
    <row r="88" spans="1:20">
      <c r="A88" s="6">
        <v>44075</v>
      </c>
      <c r="B88">
        <v>100086</v>
      </c>
      <c r="C88" t="str">
        <f t="shared" si="23"/>
        <v>唛头72</v>
      </c>
      <c r="D88" t="str">
        <f t="shared" si="24"/>
        <v>发货公司72</v>
      </c>
      <c r="E88" t="str">
        <f t="shared" si="25"/>
        <v>收货公司72</v>
      </c>
      <c r="F88" t="str">
        <f ca="1" t="array" ref="F88">INDIRECT("aa"&amp;RANDBETWEEN(2,19))</f>
        <v>山东省</v>
      </c>
      <c r="G88" t="s">
        <v>23</v>
      </c>
      <c r="H88" t="str">
        <f ca="1" t="array" ref="H88">IF(B88=B87,H87,INDIRECT("x"&amp;RANDBETWEEN(2,28)))</f>
        <v>柬埔寨</v>
      </c>
      <c r="I88" t="str">
        <f ca="1" t="array" ref="I88">"货物"&amp;INDIRECT("u"&amp;RANDBETWEEN(2,29))</f>
        <v>货物X</v>
      </c>
      <c r="J88">
        <f ca="1" t="shared" si="6"/>
        <v>2002</v>
      </c>
      <c r="K88">
        <f ca="1" t="shared" si="7"/>
        <v>73.2</v>
      </c>
      <c r="L88">
        <f ca="1" t="shared" si="26"/>
        <v>146546.4</v>
      </c>
      <c r="M88">
        <f ca="1" t="shared" si="27"/>
        <v>140</v>
      </c>
      <c r="N88">
        <f ca="1" t="shared" si="28"/>
        <v>3003</v>
      </c>
      <c r="O88">
        <f ca="1" t="shared" si="29"/>
        <v>2522.52</v>
      </c>
      <c r="P88">
        <f ca="1" t="shared" si="30"/>
        <v>249.2</v>
      </c>
      <c r="Q88" t="str">
        <f t="shared" si="1"/>
        <v>货代公司A</v>
      </c>
      <c r="R88" t="str">
        <f ca="1" t="array" ref="R88">IF(B88=B87,R87,INDIRECT("z"&amp;RANDBETWEEN(2,4)))</f>
        <v>陆运</v>
      </c>
      <c r="S88" t="str">
        <f ca="1" t="shared" si="31"/>
        <v>陆10072</v>
      </c>
      <c r="T88" t="str">
        <f ca="1" t="shared" si="32"/>
        <v>青岛</v>
      </c>
    </row>
    <row r="89" spans="1:20">
      <c r="A89" s="6">
        <v>44075</v>
      </c>
      <c r="B89">
        <v>100087</v>
      </c>
      <c r="C89" t="str">
        <f t="shared" si="23"/>
        <v>唛头73</v>
      </c>
      <c r="D89" t="str">
        <f t="shared" si="24"/>
        <v>发货公司73</v>
      </c>
      <c r="E89" t="str">
        <f t="shared" si="25"/>
        <v>收货公司73</v>
      </c>
      <c r="F89" t="str">
        <f ca="1" t="array" ref="F89">INDIRECT("aa"&amp;RANDBETWEEN(2,19))</f>
        <v>广东省</v>
      </c>
      <c r="G89" t="s">
        <v>23</v>
      </c>
      <c r="H89" t="str">
        <f ca="1" t="array" ref="H89">IF(B89=B88,H88,INDIRECT("x"&amp;RANDBETWEEN(2,28)))</f>
        <v>柬埔寨</v>
      </c>
      <c r="I89" t="str">
        <f ca="1" t="array" ref="I89">"货物"&amp;INDIRECT("u"&amp;RANDBETWEEN(2,29))</f>
        <v>货物M</v>
      </c>
      <c r="J89">
        <f ca="1" t="shared" si="6"/>
        <v>4815</v>
      </c>
      <c r="K89">
        <f ca="1" t="shared" si="7"/>
        <v>19.2</v>
      </c>
      <c r="L89">
        <f ca="1" t="shared" si="26"/>
        <v>92448</v>
      </c>
      <c r="M89">
        <f ca="1" t="shared" si="27"/>
        <v>578</v>
      </c>
      <c r="N89">
        <f ca="1" t="shared" si="28"/>
        <v>1444.5</v>
      </c>
      <c r="O89">
        <f ca="1" t="shared" si="29"/>
        <v>1256.715</v>
      </c>
      <c r="P89">
        <f ca="1" t="shared" si="30"/>
        <v>890.12</v>
      </c>
      <c r="Q89" t="str">
        <f t="shared" si="1"/>
        <v>货代公司A</v>
      </c>
      <c r="R89" t="str">
        <f ca="1" t="array" ref="R89">IF(B89=B88,R88,INDIRECT("z"&amp;RANDBETWEEN(2,4)))</f>
        <v>陆运</v>
      </c>
      <c r="S89" t="str">
        <f ca="1" t="shared" si="31"/>
        <v>陆10073</v>
      </c>
      <c r="T89" t="str">
        <f ca="1" t="shared" si="32"/>
        <v>广州</v>
      </c>
    </row>
    <row r="90" spans="1:20">
      <c r="A90" s="6">
        <v>44075</v>
      </c>
      <c r="B90">
        <v>100088</v>
      </c>
      <c r="C90" t="str">
        <f t="shared" si="23"/>
        <v>唛头74</v>
      </c>
      <c r="D90" t="str">
        <f t="shared" si="24"/>
        <v>发货公司74</v>
      </c>
      <c r="E90" t="str">
        <f t="shared" si="25"/>
        <v>收货公司74</v>
      </c>
      <c r="F90" t="str">
        <f ca="1" t="array" ref="F90">INDIRECT("aa"&amp;RANDBETWEEN(2,19))</f>
        <v>贵州省</v>
      </c>
      <c r="G90" t="s">
        <v>23</v>
      </c>
      <c r="H90" t="str">
        <f ca="1" t="array" ref="H90">IF(B90=B89,H89,INDIRECT("x"&amp;RANDBETWEEN(2,28)))</f>
        <v>尼加拉瓜</v>
      </c>
      <c r="I90" t="str">
        <f ca="1" t="array" ref="I90">"货物"&amp;INDIRECT("u"&amp;RANDBETWEEN(2,29))</f>
        <v>货物Z</v>
      </c>
      <c r="J90">
        <f ca="1" t="shared" si="6"/>
        <v>3916</v>
      </c>
      <c r="K90">
        <f ca="1" t="shared" si="7"/>
        <v>95.4</v>
      </c>
      <c r="L90">
        <f ca="1" t="shared" si="26"/>
        <v>373586.4</v>
      </c>
      <c r="M90">
        <f ca="1" t="shared" si="27"/>
        <v>509</v>
      </c>
      <c r="N90">
        <f ca="1" t="shared" si="28"/>
        <v>13314.4</v>
      </c>
      <c r="O90">
        <f ca="1" t="shared" si="29"/>
        <v>11716.672</v>
      </c>
      <c r="P90">
        <f ca="1" t="shared" si="30"/>
        <v>997.64</v>
      </c>
      <c r="Q90" t="str">
        <f t="shared" si="1"/>
        <v>货代公司A</v>
      </c>
      <c r="R90" t="str">
        <f ca="1" t="array" ref="R90">IF(B90=B89,R89,INDIRECT("z"&amp;RANDBETWEEN(2,4)))</f>
        <v>船运</v>
      </c>
      <c r="S90" t="str">
        <f ca="1" t="shared" si="31"/>
        <v>船10074</v>
      </c>
      <c r="T90" t="str">
        <f ca="1" t="shared" si="32"/>
        <v>佛山</v>
      </c>
    </row>
    <row r="91" spans="1:20">
      <c r="A91" s="6">
        <v>44075</v>
      </c>
      <c r="B91">
        <v>100089</v>
      </c>
      <c r="C91" t="str">
        <f t="shared" si="23"/>
        <v>唛头75</v>
      </c>
      <c r="D91" t="str">
        <f t="shared" si="24"/>
        <v>发货公司75</v>
      </c>
      <c r="E91" t="str">
        <f t="shared" si="25"/>
        <v>收货公司75</v>
      </c>
      <c r="F91" t="str">
        <f ca="1" t="array" ref="F91">INDIRECT("aa"&amp;RANDBETWEEN(2,19))</f>
        <v>广东省</v>
      </c>
      <c r="G91" t="s">
        <v>23</v>
      </c>
      <c r="H91" t="str">
        <f ca="1" t="array" ref="H91">IF(B91=B90,H90,INDIRECT("x"&amp;RANDBETWEEN(2,28)))</f>
        <v>泰国</v>
      </c>
      <c r="I91" t="str">
        <f ca="1" t="array" ref="I91">"货物"&amp;INDIRECT("u"&amp;RANDBETWEEN(2,29))</f>
        <v>货物M</v>
      </c>
      <c r="J91">
        <f ca="1" t="shared" si="6"/>
        <v>3870</v>
      </c>
      <c r="K91">
        <f ca="1" t="shared" si="7"/>
        <v>84.6</v>
      </c>
      <c r="L91">
        <f ca="1" t="shared" si="26"/>
        <v>327402</v>
      </c>
      <c r="M91">
        <f ca="1" t="shared" si="27"/>
        <v>464</v>
      </c>
      <c r="N91">
        <f ca="1" t="shared" si="28"/>
        <v>12384</v>
      </c>
      <c r="O91">
        <f ca="1" t="shared" si="29"/>
        <v>10526.4</v>
      </c>
      <c r="P91">
        <f ca="1" t="shared" si="30"/>
        <v>918.72</v>
      </c>
      <c r="Q91" t="str">
        <f t="shared" si="1"/>
        <v>货代公司A</v>
      </c>
      <c r="R91" t="str">
        <f ca="1" t="array" ref="R91">IF(B91=B90,R90,INDIRECT("z"&amp;RANDBETWEEN(2,4)))</f>
        <v>陆运</v>
      </c>
      <c r="S91" t="str">
        <f ca="1" t="shared" si="31"/>
        <v>陆10075</v>
      </c>
      <c r="T91" t="str">
        <f ca="1" t="shared" si="32"/>
        <v>广州</v>
      </c>
    </row>
    <row r="92" spans="1:20">
      <c r="A92" s="6">
        <v>44075</v>
      </c>
      <c r="B92">
        <v>100090</v>
      </c>
      <c r="C92" t="str">
        <f t="shared" si="23"/>
        <v>唛头76</v>
      </c>
      <c r="D92" t="str">
        <f t="shared" si="24"/>
        <v>发货公司76</v>
      </c>
      <c r="E92" t="str">
        <f t="shared" si="25"/>
        <v>收货公司76</v>
      </c>
      <c r="F92" t="str">
        <f ca="1" t="array" ref="F92">INDIRECT("aa"&amp;RANDBETWEEN(2,19))</f>
        <v>江西省</v>
      </c>
      <c r="G92" t="s">
        <v>23</v>
      </c>
      <c r="H92" t="str">
        <f ca="1" t="array" ref="H92">IF(B92=B91,H91,INDIRECT("x"&amp;RANDBETWEEN(2,28)))</f>
        <v>捷克</v>
      </c>
      <c r="I92" t="str">
        <f ca="1" t="array" ref="I92">"货物"&amp;INDIRECT("u"&amp;RANDBETWEEN(2,29))</f>
        <v>货物F</v>
      </c>
      <c r="J92">
        <f ca="1" t="shared" si="6"/>
        <v>987</v>
      </c>
      <c r="K92">
        <f ca="1" t="shared" si="7"/>
        <v>33.3</v>
      </c>
      <c r="L92">
        <f ca="1" t="shared" si="26"/>
        <v>32867.1</v>
      </c>
      <c r="M92">
        <f ca="1" t="shared" si="27"/>
        <v>109</v>
      </c>
      <c r="N92">
        <f ca="1" t="shared" si="28"/>
        <v>592.2</v>
      </c>
      <c r="O92">
        <f ca="1" t="shared" si="29"/>
        <v>473.76</v>
      </c>
      <c r="P92">
        <f ca="1" t="shared" si="30"/>
        <v>159.14</v>
      </c>
      <c r="Q92" t="str">
        <f t="shared" si="1"/>
        <v>货代公司A</v>
      </c>
      <c r="R92" t="str">
        <f ca="1" t="array" ref="R92">IF(B92=B91,R91,INDIRECT("z"&amp;RANDBETWEEN(2,4)))</f>
        <v>船运</v>
      </c>
      <c r="S92" t="str">
        <f ca="1" t="shared" si="31"/>
        <v>船10076</v>
      </c>
      <c r="T92" t="str">
        <f ca="1" t="shared" si="32"/>
        <v>宁波</v>
      </c>
    </row>
    <row r="93" spans="1:20">
      <c r="A93" s="6">
        <v>44075</v>
      </c>
      <c r="B93">
        <v>100091</v>
      </c>
      <c r="C93" t="str">
        <f t="shared" si="23"/>
        <v>唛头77</v>
      </c>
      <c r="D93" t="str">
        <f t="shared" si="24"/>
        <v>发货公司77</v>
      </c>
      <c r="E93" t="str">
        <f t="shared" si="25"/>
        <v>收货公司77</v>
      </c>
      <c r="F93" t="str">
        <f ca="1" t="array" ref="F93">INDIRECT("aa"&amp;RANDBETWEEN(2,19))</f>
        <v>四川省</v>
      </c>
      <c r="G93" t="s">
        <v>23</v>
      </c>
      <c r="H93" t="str">
        <f ca="1" t="array" ref="H93">IF(B93=B92,H92,INDIRECT("x"&amp;RANDBETWEEN(2,28)))</f>
        <v>匈牙利</v>
      </c>
      <c r="I93" t="str">
        <f ca="1" t="array" ref="I93">"货物"&amp;INDIRECT("u"&amp;RANDBETWEEN(2,29))</f>
        <v>货物H</v>
      </c>
      <c r="J93">
        <f ca="1" t="shared" si="6"/>
        <v>1334</v>
      </c>
      <c r="K93">
        <f ca="1" t="shared" si="7"/>
        <v>25.1</v>
      </c>
      <c r="L93">
        <f ca="1" t="shared" si="26"/>
        <v>33483.4</v>
      </c>
      <c r="M93">
        <f ca="1" t="shared" si="27"/>
        <v>187</v>
      </c>
      <c r="N93">
        <f ca="1" t="shared" si="28"/>
        <v>933.8</v>
      </c>
      <c r="O93">
        <f ca="1" t="shared" si="29"/>
        <v>831.082</v>
      </c>
      <c r="P93">
        <f ca="1" t="shared" si="30"/>
        <v>291.72</v>
      </c>
      <c r="Q93" t="str">
        <f t="shared" si="1"/>
        <v>货代公司A</v>
      </c>
      <c r="R93" t="str">
        <f ca="1" t="array" ref="R93">IF(B93=B92,R92,INDIRECT("z"&amp;RANDBETWEEN(2,4)))</f>
        <v>空运</v>
      </c>
      <c r="S93" t="str">
        <f ca="1" t="shared" si="31"/>
        <v>空10077</v>
      </c>
      <c r="T93" t="str">
        <f ca="1" t="shared" si="32"/>
        <v>天津</v>
      </c>
    </row>
    <row r="94" spans="1:20">
      <c r="A94" s="6">
        <v>44075</v>
      </c>
      <c r="B94">
        <v>100092</v>
      </c>
      <c r="C94" t="str">
        <f t="shared" si="23"/>
        <v>唛头78</v>
      </c>
      <c r="D94" t="str">
        <f t="shared" si="24"/>
        <v>发货公司78</v>
      </c>
      <c r="E94" t="str">
        <f t="shared" si="25"/>
        <v>收货公司78</v>
      </c>
      <c r="F94" t="str">
        <f ca="1" t="array" ref="F94">INDIRECT("aa"&amp;RANDBETWEEN(2,19))</f>
        <v>山东省</v>
      </c>
      <c r="G94" t="s">
        <v>23</v>
      </c>
      <c r="H94" t="str">
        <f ca="1" t="array" ref="H94">IF(B94=B93,H93,INDIRECT("x"&amp;RANDBETWEEN(2,28)))</f>
        <v>土库曼斯坦</v>
      </c>
      <c r="I94" t="str">
        <f ca="1" t="array" ref="I94">"货物"&amp;INDIRECT("u"&amp;RANDBETWEEN(2,29))</f>
        <v>货物I</v>
      </c>
      <c r="J94">
        <f ca="1" t="shared" si="6"/>
        <v>2314</v>
      </c>
      <c r="K94">
        <f ca="1" t="shared" si="7"/>
        <v>8.1</v>
      </c>
      <c r="L94">
        <f ca="1" t="shared" si="26"/>
        <v>18743.4</v>
      </c>
      <c r="M94">
        <f ca="1" t="shared" si="27"/>
        <v>208</v>
      </c>
      <c r="N94">
        <f ca="1" t="shared" si="28"/>
        <v>3933.8</v>
      </c>
      <c r="O94">
        <f ca="1" t="shared" si="29"/>
        <v>3383.068</v>
      </c>
      <c r="P94">
        <f ca="1" t="shared" si="30"/>
        <v>397.28</v>
      </c>
      <c r="Q94" t="str">
        <f t="shared" si="1"/>
        <v>货代公司A</v>
      </c>
      <c r="R94" t="str">
        <f ca="1" t="array" ref="R94">IF(B94=B93,R93,INDIRECT("z"&amp;RANDBETWEEN(2,4)))</f>
        <v>陆运</v>
      </c>
      <c r="S94" t="str">
        <f ca="1" t="shared" si="31"/>
        <v>陆10078</v>
      </c>
      <c r="T94" t="str">
        <f ca="1" t="shared" si="32"/>
        <v>青岛</v>
      </c>
    </row>
    <row r="95" spans="1:20">
      <c r="A95" s="6">
        <v>44075</v>
      </c>
      <c r="B95">
        <v>100093</v>
      </c>
      <c r="C95" t="str">
        <f t="shared" si="23"/>
        <v>唛头79</v>
      </c>
      <c r="D95" t="str">
        <f t="shared" si="24"/>
        <v>发货公司79</v>
      </c>
      <c r="E95" t="str">
        <f t="shared" si="25"/>
        <v>收货公司79</v>
      </c>
      <c r="F95" t="str">
        <f ca="1" t="array" ref="F95">INDIRECT("aa"&amp;RANDBETWEEN(2,19))</f>
        <v>河北省</v>
      </c>
      <c r="G95" t="s">
        <v>23</v>
      </c>
      <c r="H95" t="str">
        <f ca="1" t="array" ref="H95">IF(B95=B94,H94,INDIRECT("x"&amp;RANDBETWEEN(2,28)))</f>
        <v>马来西亚</v>
      </c>
      <c r="I95" t="str">
        <f ca="1" t="array" ref="I95">"货物"&amp;INDIRECT("u"&amp;RANDBETWEEN(2,29))</f>
        <v>货物T</v>
      </c>
      <c r="J95">
        <f ca="1" t="shared" si="6"/>
        <v>4731</v>
      </c>
      <c r="K95">
        <f ca="1" t="shared" si="7"/>
        <v>99.2</v>
      </c>
      <c r="L95">
        <f ca="1" t="shared" si="26"/>
        <v>469315.2</v>
      </c>
      <c r="M95">
        <f ca="1" t="shared" si="27"/>
        <v>710</v>
      </c>
      <c r="N95">
        <f ca="1" t="shared" si="28"/>
        <v>16558.5</v>
      </c>
      <c r="O95">
        <f ca="1" t="shared" si="29"/>
        <v>13246.8</v>
      </c>
      <c r="P95">
        <f ca="1" t="shared" si="30"/>
        <v>1015.3</v>
      </c>
      <c r="Q95" t="str">
        <f t="shared" si="1"/>
        <v>货代公司A</v>
      </c>
      <c r="R95" t="str">
        <f ca="1" t="array" ref="R95">IF(B95=B94,R94,INDIRECT("z"&amp;RANDBETWEEN(2,4)))</f>
        <v>空运</v>
      </c>
      <c r="S95" t="str">
        <f ca="1" t="shared" si="31"/>
        <v>空10079</v>
      </c>
      <c r="T95" t="str">
        <f ca="1" t="shared" si="32"/>
        <v>天津</v>
      </c>
    </row>
    <row r="96" spans="1:20">
      <c r="A96" s="6">
        <v>44075</v>
      </c>
      <c r="B96">
        <v>100093</v>
      </c>
      <c r="C96" t="str">
        <f t="shared" si="23"/>
        <v>唛头79</v>
      </c>
      <c r="D96" t="str">
        <f t="shared" si="24"/>
        <v>发货公司79</v>
      </c>
      <c r="E96" t="str">
        <f t="shared" si="25"/>
        <v>收货公司79</v>
      </c>
      <c r="F96" t="str">
        <f ca="1" t="array" ref="F96">INDIRECT("aa"&amp;RANDBETWEEN(2,19))</f>
        <v>四川省</v>
      </c>
      <c r="G96" t="s">
        <v>23</v>
      </c>
      <c r="H96" t="str">
        <f ca="1" t="array" ref="H96">IF(B96=B95,H95,INDIRECT("x"&amp;RANDBETWEEN(2,28)))</f>
        <v>马来西亚</v>
      </c>
      <c r="I96" t="str">
        <f ca="1" t="array" ref="I96">"货物"&amp;INDIRECT("u"&amp;RANDBETWEEN(2,29))</f>
        <v>货物K</v>
      </c>
      <c r="J96">
        <f ca="1" t="shared" si="6"/>
        <v>3472</v>
      </c>
      <c r="K96">
        <f ca="1" t="shared" si="7"/>
        <v>85.1</v>
      </c>
      <c r="L96">
        <f ca="1" t="shared" si="26"/>
        <v>295467.2</v>
      </c>
      <c r="M96">
        <f ca="1" t="shared" si="27"/>
        <v>278</v>
      </c>
      <c r="N96">
        <f ca="1" t="shared" si="28"/>
        <v>2083.2</v>
      </c>
      <c r="O96">
        <f ca="1" t="shared" si="29"/>
        <v>1708.224</v>
      </c>
      <c r="P96">
        <f ca="1" t="shared" si="30"/>
        <v>514.3</v>
      </c>
      <c r="Q96" t="str">
        <f t="shared" si="1"/>
        <v>货代公司A</v>
      </c>
      <c r="R96" t="str">
        <f ca="1" t="array" ref="R96">IF(B96=B95,R95,INDIRECT("z"&amp;RANDBETWEEN(2,4)))</f>
        <v>空运</v>
      </c>
      <c r="S96" t="str">
        <f ca="1" t="shared" si="31"/>
        <v>空10079</v>
      </c>
      <c r="T96" t="str">
        <f ca="1" t="shared" si="32"/>
        <v>天津</v>
      </c>
    </row>
    <row r="97" spans="1:20">
      <c r="A97" s="6">
        <v>44075</v>
      </c>
      <c r="B97">
        <v>100093</v>
      </c>
      <c r="C97" t="str">
        <f t="shared" si="23"/>
        <v>唛头79</v>
      </c>
      <c r="D97" t="str">
        <f t="shared" si="24"/>
        <v>发货公司79</v>
      </c>
      <c r="E97" t="str">
        <f t="shared" si="25"/>
        <v>收货公司79</v>
      </c>
      <c r="F97" t="str">
        <f ca="1" t="array" ref="F97">INDIRECT("aa"&amp;RANDBETWEEN(2,19))</f>
        <v>湖南省</v>
      </c>
      <c r="G97" t="s">
        <v>23</v>
      </c>
      <c r="H97" t="str">
        <f ca="1" t="array" ref="H97">IF(B97=B96,H96,INDIRECT("x"&amp;RANDBETWEEN(2,28)))</f>
        <v>马来西亚</v>
      </c>
      <c r="I97" t="str">
        <f ca="1" t="array" ref="I97">"货物"&amp;INDIRECT("u"&amp;RANDBETWEEN(2,29))</f>
        <v>货物I</v>
      </c>
      <c r="J97">
        <f ca="1" t="shared" si="6"/>
        <v>3173</v>
      </c>
      <c r="K97">
        <f ca="1" t="shared" si="7"/>
        <v>97.5</v>
      </c>
      <c r="L97">
        <f ca="1" t="shared" si="26"/>
        <v>309367.5</v>
      </c>
      <c r="M97">
        <f ca="1" t="shared" si="27"/>
        <v>476</v>
      </c>
      <c r="N97">
        <f ca="1" t="shared" si="28"/>
        <v>4442.2</v>
      </c>
      <c r="O97">
        <f ca="1" t="shared" si="29"/>
        <v>3820.292</v>
      </c>
      <c r="P97">
        <f ca="1" t="shared" si="30"/>
        <v>904.4</v>
      </c>
      <c r="Q97" t="str">
        <f t="shared" si="1"/>
        <v>货代公司A</v>
      </c>
      <c r="R97" t="str">
        <f ca="1" t="array" ref="R97">IF(B97=B96,R96,INDIRECT("z"&amp;RANDBETWEEN(2,4)))</f>
        <v>空运</v>
      </c>
      <c r="S97" t="str">
        <f ca="1" t="shared" si="31"/>
        <v>空10079</v>
      </c>
      <c r="T97" t="str">
        <f ca="1" t="shared" si="32"/>
        <v>上海</v>
      </c>
    </row>
    <row r="98" spans="1:20">
      <c r="A98" s="6">
        <v>44075</v>
      </c>
      <c r="B98">
        <v>100096</v>
      </c>
      <c r="C98" t="str">
        <f t="shared" si="23"/>
        <v>唛头80</v>
      </c>
      <c r="D98" t="str">
        <f t="shared" si="24"/>
        <v>发货公司80</v>
      </c>
      <c r="E98" t="str">
        <f t="shared" si="25"/>
        <v>收货公司80</v>
      </c>
      <c r="F98" t="str">
        <f ca="1" t="array" ref="F98">INDIRECT("aa"&amp;RANDBETWEEN(2,19))</f>
        <v>江西省</v>
      </c>
      <c r="G98" t="s">
        <v>23</v>
      </c>
      <c r="H98" t="str">
        <f ca="1" t="array" ref="H98">IF(B98=B97,H97,INDIRECT("x"&amp;RANDBETWEEN(2,28)))</f>
        <v>吉尔吉斯斯坦</v>
      </c>
      <c r="I98" t="str">
        <f ca="1" t="array" ref="I98">"货物"&amp;INDIRECT("u"&amp;RANDBETWEEN(2,29))</f>
        <v>货物T</v>
      </c>
      <c r="J98">
        <f ca="1" t="shared" si="6"/>
        <v>3746</v>
      </c>
      <c r="K98">
        <f ca="1" t="shared" si="7"/>
        <v>14.2</v>
      </c>
      <c r="L98">
        <f ca="1" t="shared" si="26"/>
        <v>53193.2</v>
      </c>
      <c r="M98">
        <f ca="1" t="shared" si="27"/>
        <v>562</v>
      </c>
      <c r="N98">
        <f ca="1" t="shared" si="28"/>
        <v>3746</v>
      </c>
      <c r="O98">
        <f ca="1" t="shared" si="29"/>
        <v>3109.18</v>
      </c>
      <c r="P98">
        <f ca="1" t="shared" si="30"/>
        <v>904.82</v>
      </c>
      <c r="Q98" t="str">
        <f t="shared" si="1"/>
        <v>货代公司A</v>
      </c>
      <c r="R98" t="str">
        <f ca="1" t="array" ref="R98">IF(B98=B97,R97,INDIRECT("z"&amp;RANDBETWEEN(2,4)))</f>
        <v>空运</v>
      </c>
      <c r="S98" t="str">
        <f ca="1" t="shared" si="31"/>
        <v>空10080</v>
      </c>
      <c r="T98" t="str">
        <f ca="1" t="shared" si="32"/>
        <v>上海</v>
      </c>
    </row>
    <row r="99" spans="1:20">
      <c r="A99" s="6">
        <v>44075</v>
      </c>
      <c r="B99">
        <v>100097</v>
      </c>
      <c r="C99" t="str">
        <f t="shared" si="23"/>
        <v>唛头81</v>
      </c>
      <c r="D99" t="str">
        <f t="shared" si="24"/>
        <v>发货公司81</v>
      </c>
      <c r="E99" t="str">
        <f t="shared" si="25"/>
        <v>收货公司81</v>
      </c>
      <c r="F99" t="str">
        <f ca="1" t="array" ref="F99">INDIRECT("aa"&amp;RANDBETWEEN(2,19))</f>
        <v>江西省</v>
      </c>
      <c r="G99" t="s">
        <v>23</v>
      </c>
      <c r="H99" t="str">
        <f ca="1" t="array" ref="H99">IF(B99=B98,H98,INDIRECT("x"&amp;RANDBETWEEN(2,28)))</f>
        <v>吉尔吉斯斯坦</v>
      </c>
      <c r="I99" t="str">
        <f ca="1" t="array" ref="I99">"货物"&amp;INDIRECT("u"&amp;RANDBETWEEN(2,29))</f>
        <v>货物Z</v>
      </c>
      <c r="J99">
        <f ca="1" t="shared" si="6"/>
        <v>2486</v>
      </c>
      <c r="K99">
        <f ca="1" t="shared" si="7"/>
        <v>35.7</v>
      </c>
      <c r="L99">
        <f ca="1" t="shared" si="26"/>
        <v>88750.2</v>
      </c>
      <c r="M99">
        <f ca="1" t="shared" si="27"/>
        <v>149</v>
      </c>
      <c r="N99">
        <f ca="1" t="shared" si="28"/>
        <v>9198.2</v>
      </c>
      <c r="O99">
        <f ca="1" t="shared" si="29"/>
        <v>7450.542</v>
      </c>
      <c r="P99">
        <f ca="1" t="shared" si="30"/>
        <v>120.69</v>
      </c>
      <c r="Q99" t="str">
        <f t="shared" si="1"/>
        <v>货代公司A</v>
      </c>
      <c r="R99" t="str">
        <f ca="1" t="array" ref="R99">IF(B99=B98,R98,INDIRECT("z"&amp;RANDBETWEEN(2,4)))</f>
        <v>空运</v>
      </c>
      <c r="S99" t="str">
        <f ca="1" t="shared" si="31"/>
        <v>空10081</v>
      </c>
      <c r="T99" t="str">
        <f ca="1" t="shared" si="32"/>
        <v>上海</v>
      </c>
    </row>
    <row r="100" spans="1:20">
      <c r="A100" s="6">
        <v>44075</v>
      </c>
      <c r="B100">
        <v>100098</v>
      </c>
      <c r="C100" t="str">
        <f t="shared" si="23"/>
        <v>唛头82</v>
      </c>
      <c r="D100" t="str">
        <f t="shared" si="24"/>
        <v>发货公司82</v>
      </c>
      <c r="E100" t="str">
        <f t="shared" si="25"/>
        <v>收货公司82</v>
      </c>
      <c r="F100" t="str">
        <f ca="1" t="array" ref="F100">INDIRECT("aa"&amp;RANDBETWEEN(2,19))</f>
        <v>福建省</v>
      </c>
      <c r="G100" t="s">
        <v>23</v>
      </c>
      <c r="H100" t="str">
        <f ca="1" t="array" ref="H100">IF(B100=B99,H99,INDIRECT("x"&amp;RANDBETWEEN(2,28)))</f>
        <v>泰国</v>
      </c>
      <c r="I100" t="str">
        <f ca="1" t="array" ref="I100">"货物"&amp;INDIRECT("u"&amp;RANDBETWEEN(2,29))</f>
        <v>货物Z</v>
      </c>
      <c r="J100">
        <f ca="1" t="shared" si="6"/>
        <v>4757</v>
      </c>
      <c r="K100">
        <f ca="1" t="shared" si="7"/>
        <v>35.3</v>
      </c>
      <c r="L100">
        <f ca="1" t="shared" si="26"/>
        <v>167922.1</v>
      </c>
      <c r="M100">
        <f ca="1" t="shared" si="27"/>
        <v>666</v>
      </c>
      <c r="N100">
        <f ca="1" t="shared" si="28"/>
        <v>17600.9</v>
      </c>
      <c r="O100">
        <f ca="1" t="shared" si="29"/>
        <v>14960.765</v>
      </c>
      <c r="P100">
        <f ca="1" t="shared" si="30"/>
        <v>1125.54</v>
      </c>
      <c r="Q100" t="str">
        <f t="shared" si="1"/>
        <v>货代公司A</v>
      </c>
      <c r="R100" t="str">
        <f ca="1" t="array" ref="R100">IF(B100=B99,R99,INDIRECT("z"&amp;RANDBETWEEN(2,4)))</f>
        <v>陆运</v>
      </c>
      <c r="S100" t="str">
        <f ca="1" t="shared" si="31"/>
        <v>陆10082</v>
      </c>
      <c r="T100" t="str">
        <f ca="1" t="shared" si="32"/>
        <v>厦门</v>
      </c>
    </row>
    <row r="101" spans="1:20">
      <c r="A101" s="6">
        <v>44075</v>
      </c>
      <c r="B101">
        <v>100099</v>
      </c>
      <c r="C101" t="str">
        <f t="shared" si="23"/>
        <v>唛头83</v>
      </c>
      <c r="D101" t="str">
        <f t="shared" si="24"/>
        <v>发货公司83</v>
      </c>
      <c r="E101" t="str">
        <f t="shared" si="25"/>
        <v>收货公司83</v>
      </c>
      <c r="F101" t="str">
        <f ca="1" t="array" ref="F101">INDIRECT("aa"&amp;RANDBETWEEN(2,19))</f>
        <v>安徽省</v>
      </c>
      <c r="G101" t="s">
        <v>23</v>
      </c>
      <c r="H101" t="str">
        <f ca="1" t="array" ref="H101">IF(B101=B100,H100,INDIRECT("x"&amp;RANDBETWEEN(2,28)))</f>
        <v>加拿大</v>
      </c>
      <c r="I101" t="str">
        <f ca="1" t="array" ref="I101">"货物"&amp;INDIRECT("u"&amp;RANDBETWEEN(2,29))</f>
        <v>货物K</v>
      </c>
      <c r="J101">
        <f ca="1" t="shared" si="6"/>
        <v>1448</v>
      </c>
      <c r="K101">
        <f ca="1" t="shared" si="7"/>
        <v>49.8</v>
      </c>
      <c r="L101">
        <f ca="1" t="shared" si="26"/>
        <v>72110.4</v>
      </c>
      <c r="M101">
        <f ca="1" t="shared" si="27"/>
        <v>174</v>
      </c>
      <c r="N101">
        <f ca="1" t="shared" si="28"/>
        <v>1737.6</v>
      </c>
      <c r="O101">
        <f ca="1" t="shared" si="29"/>
        <v>1546.464</v>
      </c>
      <c r="P101">
        <f ca="1" t="shared" si="30"/>
        <v>299.28</v>
      </c>
      <c r="Q101" t="str">
        <f t="shared" si="1"/>
        <v>货代公司A</v>
      </c>
      <c r="R101" t="str">
        <f ca="1" t="array" ref="R101">IF(B101=B100,R100,INDIRECT("z"&amp;RANDBETWEEN(2,4)))</f>
        <v>空运</v>
      </c>
      <c r="S101" t="str">
        <f ca="1" t="shared" si="31"/>
        <v>空10083</v>
      </c>
      <c r="T101" t="str">
        <f ca="1" t="shared" si="32"/>
        <v>上海</v>
      </c>
    </row>
    <row r="102" spans="1:20">
      <c r="A102" s="6">
        <v>44075</v>
      </c>
      <c r="B102">
        <v>100100</v>
      </c>
      <c r="C102" t="str">
        <f t="shared" si="23"/>
        <v>唛头84</v>
      </c>
      <c r="D102" t="str">
        <f t="shared" si="24"/>
        <v>发货公司84</v>
      </c>
      <c r="E102" t="str">
        <f t="shared" si="25"/>
        <v>收货公司84</v>
      </c>
      <c r="F102" t="str">
        <f ca="1" t="array" ref="F102">INDIRECT("aa"&amp;RANDBETWEEN(2,19))</f>
        <v>浙江省</v>
      </c>
      <c r="G102" t="s">
        <v>23</v>
      </c>
      <c r="H102" t="str">
        <f ca="1" t="array" ref="H102">IF(B102=B101,H101,INDIRECT("x"&amp;RANDBETWEEN(2,28)))</f>
        <v>泰国</v>
      </c>
      <c r="I102" t="str">
        <f ca="1" t="array" ref="I102">"货物"&amp;INDIRECT("u"&amp;RANDBETWEEN(2,29))</f>
        <v>货物M</v>
      </c>
      <c r="J102">
        <f ca="1" t="shared" si="6"/>
        <v>2934</v>
      </c>
      <c r="K102">
        <f ca="1" t="shared" si="7"/>
        <v>10.2</v>
      </c>
      <c r="L102">
        <f ca="1" t="shared" si="26"/>
        <v>29926.8</v>
      </c>
      <c r="M102">
        <f ca="1" t="shared" si="27"/>
        <v>205</v>
      </c>
      <c r="N102">
        <f ca="1" t="shared" si="28"/>
        <v>2347.2</v>
      </c>
      <c r="O102">
        <f ca="1" t="shared" si="29"/>
        <v>1971.648</v>
      </c>
      <c r="P102">
        <f ca="1" t="shared" si="30"/>
        <v>182.45</v>
      </c>
      <c r="Q102" t="str">
        <f t="shared" si="1"/>
        <v>货代公司A</v>
      </c>
      <c r="R102" t="str">
        <f ca="1" t="array" ref="R102">IF(B102=B101,R101,INDIRECT("z"&amp;RANDBETWEEN(2,4)))</f>
        <v>船运</v>
      </c>
      <c r="S102" t="str">
        <f ca="1" t="shared" si="31"/>
        <v>船10084</v>
      </c>
      <c r="T102" t="str">
        <f ca="1" t="shared" si="32"/>
        <v>上海</v>
      </c>
    </row>
    <row r="103" spans="1:20">
      <c r="A103" s="6">
        <v>44075</v>
      </c>
      <c r="B103">
        <v>100101</v>
      </c>
      <c r="C103" t="str">
        <f t="shared" si="23"/>
        <v>唛头85</v>
      </c>
      <c r="D103" t="str">
        <f t="shared" si="24"/>
        <v>发货公司85</v>
      </c>
      <c r="E103" t="str">
        <f t="shared" si="25"/>
        <v>收货公司85</v>
      </c>
      <c r="F103" t="str">
        <f ca="1" t="array" ref="F103">INDIRECT("aa"&amp;RANDBETWEEN(2,19))</f>
        <v>河北省</v>
      </c>
      <c r="G103" t="s">
        <v>23</v>
      </c>
      <c r="H103" t="str">
        <f ca="1" t="array" ref="H103">IF(B103=B102,H102,INDIRECT("x"&amp;RANDBETWEEN(2,28)))</f>
        <v>文莱</v>
      </c>
      <c r="I103" t="str">
        <f ca="1" t="array" ref="I103">"货物"&amp;INDIRECT("u"&amp;RANDBETWEEN(2,29))</f>
        <v>货物G</v>
      </c>
      <c r="J103">
        <f ca="1" t="shared" si="6"/>
        <v>1547</v>
      </c>
      <c r="K103">
        <f ca="1" t="shared" si="7"/>
        <v>79.6</v>
      </c>
      <c r="L103">
        <f ca="1" t="shared" si="26"/>
        <v>123141.2</v>
      </c>
      <c r="M103">
        <f ca="1" t="shared" si="27"/>
        <v>170</v>
      </c>
      <c r="N103">
        <f ca="1" t="shared" si="28"/>
        <v>4795.7</v>
      </c>
      <c r="O103">
        <f ca="1" t="shared" si="29"/>
        <v>3980.431</v>
      </c>
      <c r="P103">
        <f ca="1" t="shared" si="30"/>
        <v>300.9</v>
      </c>
      <c r="Q103" t="str">
        <f t="shared" si="1"/>
        <v>货代公司A</v>
      </c>
      <c r="R103" t="str">
        <f ca="1" t="array" ref="R103">IF(B103=B102,R102,INDIRECT("z"&amp;RANDBETWEEN(2,4)))</f>
        <v>空运</v>
      </c>
      <c r="S103" t="str">
        <f ca="1" t="shared" si="31"/>
        <v>空10085</v>
      </c>
      <c r="T103" t="str">
        <f ca="1" t="shared" si="32"/>
        <v>天津</v>
      </c>
    </row>
    <row r="104" spans="1:20">
      <c r="A104" s="6">
        <v>44075</v>
      </c>
      <c r="B104">
        <v>100102</v>
      </c>
      <c r="C104" t="str">
        <f t="shared" si="23"/>
        <v>唛头86</v>
      </c>
      <c r="D104" t="str">
        <f t="shared" si="24"/>
        <v>发货公司86</v>
      </c>
      <c r="E104" t="str">
        <f t="shared" si="25"/>
        <v>收货公司86</v>
      </c>
      <c r="F104" t="str">
        <f ca="1" t="array" ref="F104">INDIRECT("aa"&amp;RANDBETWEEN(2,19))</f>
        <v>山东省</v>
      </c>
      <c r="G104" t="s">
        <v>23</v>
      </c>
      <c r="H104" t="str">
        <f ca="1" t="array" ref="H104">IF(B104=B103,H103,INDIRECT("x"&amp;RANDBETWEEN(2,28)))</f>
        <v>韩国</v>
      </c>
      <c r="I104" t="str">
        <f ca="1" t="array" ref="I104">"货物"&amp;INDIRECT("u"&amp;RANDBETWEEN(2,29))</f>
        <v>货物Z</v>
      </c>
      <c r="J104">
        <f ca="1" t="shared" si="6"/>
        <v>2973</v>
      </c>
      <c r="K104">
        <f ca="1" t="shared" si="7"/>
        <v>97.5</v>
      </c>
      <c r="L104">
        <f ca="1" t="shared" si="26"/>
        <v>289867.5</v>
      </c>
      <c r="M104">
        <f ca="1" t="shared" si="27"/>
        <v>327</v>
      </c>
      <c r="N104">
        <f ca="1" t="shared" si="28"/>
        <v>9216.3</v>
      </c>
      <c r="O104">
        <f ca="1" t="shared" si="29"/>
        <v>7833.855</v>
      </c>
      <c r="P104">
        <f ca="1" t="shared" si="30"/>
        <v>389.13</v>
      </c>
      <c r="Q104" t="str">
        <f t="shared" si="1"/>
        <v>货代公司A</v>
      </c>
      <c r="R104" t="str">
        <f ca="1" t="array" ref="R104">IF(B104=B103,R103,INDIRECT("z"&amp;RANDBETWEEN(2,4)))</f>
        <v>船运</v>
      </c>
      <c r="S104" t="str">
        <f ca="1" t="shared" si="31"/>
        <v>船10086</v>
      </c>
      <c r="T104" t="str">
        <f ca="1" t="shared" si="32"/>
        <v>青岛</v>
      </c>
    </row>
    <row r="105" spans="1:20">
      <c r="A105" s="6">
        <v>44075</v>
      </c>
      <c r="B105">
        <v>100103</v>
      </c>
      <c r="C105" t="str">
        <f t="shared" si="23"/>
        <v>唛头87</v>
      </c>
      <c r="D105" t="str">
        <f t="shared" si="24"/>
        <v>发货公司87</v>
      </c>
      <c r="E105" t="str">
        <f t="shared" si="25"/>
        <v>收货公司87</v>
      </c>
      <c r="F105" t="str">
        <f ca="1" t="array" ref="F105">INDIRECT("aa"&amp;RANDBETWEEN(2,19))</f>
        <v>河北省</v>
      </c>
      <c r="G105" t="s">
        <v>23</v>
      </c>
      <c r="H105" t="str">
        <f ca="1" t="array" ref="H105">IF(B105=B104,H104,INDIRECT("x"&amp;RANDBETWEEN(2,28)))</f>
        <v>哥斯达黎加</v>
      </c>
      <c r="I105" t="str">
        <f ca="1" t="array" ref="I105">"货物"&amp;INDIRECT("u"&amp;RANDBETWEEN(2,29))</f>
        <v>货物F</v>
      </c>
      <c r="J105">
        <f ca="1" t="shared" si="6"/>
        <v>464</v>
      </c>
      <c r="K105">
        <f ca="1" t="shared" si="7"/>
        <v>82.4</v>
      </c>
      <c r="L105">
        <f ca="1" t="shared" si="26"/>
        <v>38233.6</v>
      </c>
      <c r="M105">
        <f ca="1" t="shared" si="27"/>
        <v>28</v>
      </c>
      <c r="N105">
        <f ca="1" t="shared" si="28"/>
        <v>1345.6</v>
      </c>
      <c r="O105">
        <f ca="1" t="shared" si="29"/>
        <v>1116.848</v>
      </c>
      <c r="P105">
        <f ca="1" t="shared" si="30"/>
        <v>49.28</v>
      </c>
      <c r="Q105" t="str">
        <f t="shared" si="1"/>
        <v>货代公司A</v>
      </c>
      <c r="R105" t="str">
        <f ca="1" t="array" ref="R105">IF(B105=B104,R104,INDIRECT("z"&amp;RANDBETWEEN(2,4)))</f>
        <v>船运</v>
      </c>
      <c r="S105" t="str">
        <f ca="1" t="shared" si="31"/>
        <v>船10087</v>
      </c>
      <c r="T105" t="str">
        <f ca="1" t="shared" si="32"/>
        <v>青岛</v>
      </c>
    </row>
    <row r="106" spans="1:20">
      <c r="A106" s="6">
        <v>44075</v>
      </c>
      <c r="B106">
        <v>100104</v>
      </c>
      <c r="C106" t="str">
        <f t="shared" si="23"/>
        <v>唛头88</v>
      </c>
      <c r="D106" t="str">
        <f t="shared" si="24"/>
        <v>发货公司88</v>
      </c>
      <c r="E106" t="str">
        <f t="shared" si="25"/>
        <v>收货公司88</v>
      </c>
      <c r="F106" t="str">
        <f ca="1" t="array" ref="F106">INDIRECT("aa"&amp;RANDBETWEEN(2,19))</f>
        <v>山西省</v>
      </c>
      <c r="G106" t="s">
        <v>23</v>
      </c>
      <c r="H106" t="str">
        <f ca="1" t="array" ref="H106">IF(B106=B105,H105,INDIRECT("x"&amp;RANDBETWEEN(2,28)))</f>
        <v>缅甸</v>
      </c>
      <c r="I106" t="str">
        <f ca="1" t="array" ref="I106">"货物"&amp;INDIRECT("u"&amp;RANDBETWEEN(2,29))</f>
        <v>货物A</v>
      </c>
      <c r="J106">
        <f ca="1" t="shared" si="6"/>
        <v>4426</v>
      </c>
      <c r="K106">
        <f ca="1" t="shared" si="7"/>
        <v>69</v>
      </c>
      <c r="L106">
        <f ca="1" t="shared" si="26"/>
        <v>305394</v>
      </c>
      <c r="M106">
        <f ca="1" t="shared" si="27"/>
        <v>354</v>
      </c>
      <c r="N106">
        <f ca="1" t="shared" si="28"/>
        <v>3983.4</v>
      </c>
      <c r="O106">
        <f ca="1" t="shared" si="29"/>
        <v>3545.226</v>
      </c>
      <c r="P106">
        <f ca="1" t="shared" si="30"/>
        <v>428.34</v>
      </c>
      <c r="Q106" t="str">
        <f t="shared" si="1"/>
        <v>货代公司A</v>
      </c>
      <c r="R106" t="str">
        <f ca="1" t="array" ref="R106">IF(B106=B105,R105,INDIRECT("z"&amp;RANDBETWEEN(2,4)))</f>
        <v>船运</v>
      </c>
      <c r="S106" t="str">
        <f ca="1" t="shared" si="31"/>
        <v>船10088</v>
      </c>
      <c r="T106" t="str">
        <f ca="1" t="shared" si="32"/>
        <v>天津</v>
      </c>
    </row>
    <row r="107" spans="1:20">
      <c r="A107" s="6">
        <v>44075</v>
      </c>
      <c r="B107">
        <v>100105</v>
      </c>
      <c r="C107" t="str">
        <f t="shared" si="23"/>
        <v>唛头89</v>
      </c>
      <c r="D107" t="str">
        <f t="shared" si="24"/>
        <v>发货公司89</v>
      </c>
      <c r="E107" t="str">
        <f t="shared" si="25"/>
        <v>收货公司89</v>
      </c>
      <c r="F107" t="str">
        <f ca="1" t="array" ref="F107">INDIRECT("aa"&amp;RANDBETWEEN(2,19))</f>
        <v>江西省</v>
      </c>
      <c r="G107" t="s">
        <v>23</v>
      </c>
      <c r="H107" t="str">
        <f ca="1" t="array" ref="H107">IF(B107=B106,H106,INDIRECT("x"&amp;RANDBETWEEN(2,28)))</f>
        <v>斯洛伐克</v>
      </c>
      <c r="I107" t="str">
        <f ca="1" t="array" ref="I107">"货物"&amp;INDIRECT("u"&amp;RANDBETWEEN(2,29))</f>
        <v>货物Q</v>
      </c>
      <c r="J107">
        <f ca="1" t="shared" si="6"/>
        <v>792</v>
      </c>
      <c r="K107">
        <f ca="1" t="shared" si="7"/>
        <v>90.6</v>
      </c>
      <c r="L107">
        <f ca="1" t="shared" si="26"/>
        <v>71755.2</v>
      </c>
      <c r="M107">
        <f ca="1" t="shared" si="27"/>
        <v>95</v>
      </c>
      <c r="N107">
        <f ca="1" t="shared" si="28"/>
        <v>2059.2</v>
      </c>
      <c r="O107">
        <f ca="1" t="shared" si="29"/>
        <v>1791.504</v>
      </c>
      <c r="P107">
        <f ca="1" t="shared" si="30"/>
        <v>142.5</v>
      </c>
      <c r="Q107" t="str">
        <f t="shared" si="1"/>
        <v>货代公司A</v>
      </c>
      <c r="R107" t="str">
        <f ca="1" t="array" ref="R107">IF(B107=B106,R106,INDIRECT("z"&amp;RANDBETWEEN(2,4)))</f>
        <v>空运</v>
      </c>
      <c r="S107" t="str">
        <f ca="1" t="shared" si="31"/>
        <v>空10089</v>
      </c>
      <c r="T107" t="str">
        <f ca="1" t="shared" si="32"/>
        <v>上海</v>
      </c>
    </row>
    <row r="108" spans="1:20">
      <c r="A108" s="6">
        <v>44075</v>
      </c>
      <c r="B108">
        <v>100106</v>
      </c>
      <c r="C108" t="str">
        <f t="shared" si="23"/>
        <v>唛头90</v>
      </c>
      <c r="D108" t="str">
        <f t="shared" si="24"/>
        <v>发货公司90</v>
      </c>
      <c r="E108" t="str">
        <f t="shared" si="25"/>
        <v>收货公司90</v>
      </c>
      <c r="F108" t="str">
        <f ca="1" t="array" ref="F108">INDIRECT("aa"&amp;RANDBETWEEN(2,19))</f>
        <v>安徽省</v>
      </c>
      <c r="G108" t="s">
        <v>23</v>
      </c>
      <c r="H108" t="str">
        <f ca="1" t="array" ref="H108">IF(B108=B107,H107,INDIRECT("x"&amp;RANDBETWEEN(2,28)))</f>
        <v>菲律宾</v>
      </c>
      <c r="I108" t="str">
        <f ca="1" t="array" ref="I108">"货物"&amp;INDIRECT("u"&amp;RANDBETWEEN(2,29))</f>
        <v>货物I</v>
      </c>
      <c r="J108">
        <f ca="1" t="shared" si="6"/>
        <v>397</v>
      </c>
      <c r="K108">
        <f ca="1" t="shared" si="7"/>
        <v>52.5</v>
      </c>
      <c r="L108">
        <f ca="1" t="shared" si="26"/>
        <v>20842.5</v>
      </c>
      <c r="M108">
        <f ca="1" t="shared" si="27"/>
        <v>36</v>
      </c>
      <c r="N108">
        <f ca="1" t="shared" si="28"/>
        <v>436.7</v>
      </c>
      <c r="O108">
        <f ca="1" t="shared" si="29"/>
        <v>353.727</v>
      </c>
      <c r="P108">
        <f ca="1" t="shared" si="30"/>
        <v>52.2</v>
      </c>
      <c r="Q108" t="str">
        <f t="shared" si="1"/>
        <v>货代公司A</v>
      </c>
      <c r="R108" t="str">
        <f ca="1" t="array" ref="R108">IF(B108=B107,R107,INDIRECT("z"&amp;RANDBETWEEN(2,4)))</f>
        <v>船运</v>
      </c>
      <c r="S108" t="str">
        <f ca="1" t="shared" si="31"/>
        <v>船10090</v>
      </c>
      <c r="T108" t="str">
        <f ca="1" t="shared" si="32"/>
        <v>上海</v>
      </c>
    </row>
    <row r="109" spans="1:20">
      <c r="A109" s="6">
        <v>44075</v>
      </c>
      <c r="B109">
        <v>100107</v>
      </c>
      <c r="C109" t="str">
        <f t="shared" si="23"/>
        <v>唛头91</v>
      </c>
      <c r="D109" t="str">
        <f t="shared" si="24"/>
        <v>发货公司91</v>
      </c>
      <c r="E109" t="str">
        <f t="shared" si="25"/>
        <v>收货公司91</v>
      </c>
      <c r="F109" t="str">
        <f ca="1" t="array" ref="F109">INDIRECT("aa"&amp;RANDBETWEEN(2,19))</f>
        <v>黑龙江省</v>
      </c>
      <c r="G109" t="s">
        <v>23</v>
      </c>
      <c r="H109" t="str">
        <f ca="1" t="array" ref="H109">IF(B109=B108,H108,INDIRECT("x"&amp;RANDBETWEEN(2,28)))</f>
        <v>吉尔吉斯斯坦</v>
      </c>
      <c r="I109" t="str">
        <f ca="1" t="array" ref="I109">"货物"&amp;INDIRECT("u"&amp;RANDBETWEEN(2,29))</f>
        <v>货物K</v>
      </c>
      <c r="J109">
        <f ca="1" t="shared" si="6"/>
        <v>1133</v>
      </c>
      <c r="K109">
        <f ca="1" t="shared" si="7"/>
        <v>94.5</v>
      </c>
      <c r="L109">
        <f ca="1" t="shared" si="26"/>
        <v>107068.5</v>
      </c>
      <c r="M109">
        <f ca="1" t="shared" si="27"/>
        <v>136</v>
      </c>
      <c r="N109">
        <f ca="1" t="shared" si="28"/>
        <v>226.6</v>
      </c>
      <c r="O109">
        <f ca="1" t="shared" si="29"/>
        <v>190.344</v>
      </c>
      <c r="P109">
        <f ca="1" t="shared" si="30"/>
        <v>250.24</v>
      </c>
      <c r="Q109" t="str">
        <f t="shared" si="1"/>
        <v>货代公司A</v>
      </c>
      <c r="R109" t="str">
        <f ca="1" t="array" ref="R109">IF(B109=B108,R108,INDIRECT("z"&amp;RANDBETWEEN(2,4)))</f>
        <v>陆运</v>
      </c>
      <c r="S109" t="str">
        <f ca="1" t="shared" si="31"/>
        <v>陆10091</v>
      </c>
      <c r="T109" t="str">
        <f ca="1" t="shared" si="32"/>
        <v>青岛</v>
      </c>
    </row>
    <row r="110" spans="1:20">
      <c r="A110" s="6">
        <v>44075</v>
      </c>
      <c r="B110">
        <v>100107</v>
      </c>
      <c r="C110" t="str">
        <f t="shared" si="23"/>
        <v>唛头91</v>
      </c>
      <c r="D110" t="str">
        <f t="shared" si="24"/>
        <v>发货公司91</v>
      </c>
      <c r="E110" t="str">
        <f t="shared" si="25"/>
        <v>收货公司91</v>
      </c>
      <c r="F110" t="str">
        <f ca="1" t="array" ref="F110">INDIRECT("aa"&amp;RANDBETWEEN(2,19))</f>
        <v>湖北省</v>
      </c>
      <c r="G110" t="s">
        <v>23</v>
      </c>
      <c r="H110" t="str">
        <f ca="1" t="array" ref="H110">IF(B110=B109,H109,INDIRECT("x"&amp;RANDBETWEEN(2,28)))</f>
        <v>吉尔吉斯斯坦</v>
      </c>
      <c r="I110" t="str">
        <f ca="1" t="array" ref="I110">"货物"&amp;INDIRECT("u"&amp;RANDBETWEEN(2,29))</f>
        <v>货物Q</v>
      </c>
      <c r="J110">
        <f ca="1" t="shared" si="6"/>
        <v>1948</v>
      </c>
      <c r="K110">
        <f ca="1" t="shared" si="7"/>
        <v>9.2</v>
      </c>
      <c r="L110">
        <f ca="1" t="shared" si="26"/>
        <v>17921.6</v>
      </c>
      <c r="M110">
        <f ca="1" t="shared" si="27"/>
        <v>136</v>
      </c>
      <c r="N110">
        <f ca="1" t="shared" si="28"/>
        <v>3116.8</v>
      </c>
      <c r="O110">
        <f ca="1" t="shared" si="29"/>
        <v>2586.944</v>
      </c>
      <c r="P110">
        <f ca="1" t="shared" si="30"/>
        <v>111.52</v>
      </c>
      <c r="Q110" t="str">
        <f t="shared" si="1"/>
        <v>货代公司A</v>
      </c>
      <c r="R110" t="str">
        <f ca="1" t="array" ref="R110">IF(B110=B109,R109,INDIRECT("z"&amp;RANDBETWEEN(2,4)))</f>
        <v>陆运</v>
      </c>
      <c r="S110" t="str">
        <f ca="1" t="shared" si="31"/>
        <v>陆10091</v>
      </c>
      <c r="T110" t="str">
        <f ca="1" t="shared" si="32"/>
        <v>上海</v>
      </c>
    </row>
    <row r="111" spans="1:20">
      <c r="A111" s="6">
        <v>44075</v>
      </c>
      <c r="B111">
        <v>100109</v>
      </c>
      <c r="C111" t="str">
        <f t="shared" si="23"/>
        <v>唛头92</v>
      </c>
      <c r="D111" t="str">
        <f t="shared" si="24"/>
        <v>发货公司92</v>
      </c>
      <c r="E111" t="str">
        <f t="shared" si="25"/>
        <v>收货公司92</v>
      </c>
      <c r="F111" t="str">
        <f ca="1" t="array" ref="F111">INDIRECT("aa"&amp;RANDBETWEEN(2,19))</f>
        <v>河南省</v>
      </c>
      <c r="G111" t="s">
        <v>23</v>
      </c>
      <c r="H111" t="str">
        <f ca="1" t="array" ref="H111">IF(B111=B110,H110,INDIRECT("x"&amp;RANDBETWEEN(2,28)))</f>
        <v>乌兹别克斯坦</v>
      </c>
      <c r="I111" t="str">
        <f ca="1" t="array" ref="I111">"货物"&amp;INDIRECT("u"&amp;RANDBETWEEN(2,29))</f>
        <v>货物M</v>
      </c>
      <c r="J111">
        <f ca="1" t="shared" si="6"/>
        <v>870</v>
      </c>
      <c r="K111">
        <f ca="1" t="shared" si="7"/>
        <v>38.4</v>
      </c>
      <c r="L111">
        <f ca="1" t="shared" si="26"/>
        <v>33408</v>
      </c>
      <c r="M111">
        <f ca="1" t="shared" si="27"/>
        <v>131</v>
      </c>
      <c r="N111">
        <f ca="1" t="shared" si="28"/>
        <v>1131</v>
      </c>
      <c r="O111">
        <f ca="1" t="shared" si="29"/>
        <v>1017.9</v>
      </c>
      <c r="P111">
        <f ca="1" t="shared" si="30"/>
        <v>124.45</v>
      </c>
      <c r="Q111" t="str">
        <f t="shared" si="1"/>
        <v>货代公司A</v>
      </c>
      <c r="R111" t="str">
        <f ca="1" t="array" ref="R111">IF(B111=B110,R110,INDIRECT("z"&amp;RANDBETWEEN(2,4)))</f>
        <v>陆运</v>
      </c>
      <c r="S111" t="str">
        <f ca="1" t="shared" si="31"/>
        <v>陆10092</v>
      </c>
      <c r="T111" t="str">
        <f ca="1" t="shared" si="32"/>
        <v>上海</v>
      </c>
    </row>
    <row r="112" spans="1:20">
      <c r="A112" s="6">
        <v>44075</v>
      </c>
      <c r="B112">
        <v>100110</v>
      </c>
      <c r="C112" t="str">
        <f t="shared" si="23"/>
        <v>唛头93</v>
      </c>
      <c r="D112" t="str">
        <f t="shared" si="24"/>
        <v>发货公司93</v>
      </c>
      <c r="E112" t="str">
        <f t="shared" si="25"/>
        <v>收货公司93</v>
      </c>
      <c r="F112" t="str">
        <f ca="1" t="array" ref="F112">INDIRECT("aa"&amp;RANDBETWEEN(2,19))</f>
        <v>河北省</v>
      </c>
      <c r="G112" t="s">
        <v>23</v>
      </c>
      <c r="H112" t="str">
        <f ca="1" t="array" ref="H112">IF(B112=B111,H111,INDIRECT("x"&amp;RANDBETWEEN(2,28)))</f>
        <v>尼加拉瓜</v>
      </c>
      <c r="I112" t="str">
        <f ca="1" t="array" ref="I112">"货物"&amp;INDIRECT("u"&amp;RANDBETWEEN(2,29))</f>
        <v>货物N</v>
      </c>
      <c r="J112">
        <f ca="1" t="shared" si="6"/>
        <v>3140</v>
      </c>
      <c r="K112">
        <f ca="1" t="shared" si="7"/>
        <v>48.9</v>
      </c>
      <c r="L112">
        <f ca="1" t="shared" si="26"/>
        <v>153546</v>
      </c>
      <c r="M112">
        <f ca="1" t="shared" si="27"/>
        <v>440</v>
      </c>
      <c r="N112">
        <f ca="1" t="shared" si="28"/>
        <v>10362</v>
      </c>
      <c r="O112">
        <f ca="1" t="shared" si="29"/>
        <v>9014.94</v>
      </c>
      <c r="P112">
        <f ca="1" t="shared" si="30"/>
        <v>686.4</v>
      </c>
      <c r="Q112" t="str">
        <f t="shared" si="1"/>
        <v>货代公司A</v>
      </c>
      <c r="R112" t="str">
        <f ca="1" t="array" ref="R112">IF(B112=B111,R111,INDIRECT("z"&amp;RANDBETWEEN(2,4)))</f>
        <v>船运</v>
      </c>
      <c r="S112" t="str">
        <f ca="1" t="shared" si="31"/>
        <v>船10093</v>
      </c>
      <c r="T112" t="str">
        <f ca="1" t="shared" si="32"/>
        <v>青岛</v>
      </c>
    </row>
    <row r="113" spans="1:20">
      <c r="A113" s="6">
        <v>44075</v>
      </c>
      <c r="B113">
        <v>100111</v>
      </c>
      <c r="C113" t="str">
        <f t="shared" si="23"/>
        <v>唛头94</v>
      </c>
      <c r="D113" t="str">
        <f t="shared" si="24"/>
        <v>发货公司94</v>
      </c>
      <c r="E113" t="str">
        <f t="shared" si="25"/>
        <v>收货公司94</v>
      </c>
      <c r="F113" t="str">
        <f ca="1" t="array" ref="F113">INDIRECT("aa"&amp;RANDBETWEEN(2,19))</f>
        <v>山东省</v>
      </c>
      <c r="G113" t="s">
        <v>23</v>
      </c>
      <c r="H113" t="str">
        <f ca="1" t="array" ref="H113">IF(B113=B112,H112,INDIRECT("x"&amp;RANDBETWEEN(2,28)))</f>
        <v>韩国</v>
      </c>
      <c r="I113" t="str">
        <f ca="1" t="array" ref="I113">"货物"&amp;INDIRECT("u"&amp;RANDBETWEEN(2,29))</f>
        <v>货物Y</v>
      </c>
      <c r="J113">
        <f ca="1" t="shared" si="6"/>
        <v>257</v>
      </c>
      <c r="K113">
        <f ca="1" t="shared" si="7"/>
        <v>44.9</v>
      </c>
      <c r="L113">
        <f ca="1" t="shared" si="26"/>
        <v>11539.3</v>
      </c>
      <c r="M113">
        <f ca="1" t="shared" si="27"/>
        <v>18</v>
      </c>
      <c r="N113">
        <f ca="1" t="shared" si="28"/>
        <v>231.3</v>
      </c>
      <c r="O113">
        <f ca="1" t="shared" si="29"/>
        <v>208.17</v>
      </c>
      <c r="P113">
        <f ca="1" t="shared" si="30"/>
        <v>18.18</v>
      </c>
      <c r="Q113" t="str">
        <f t="shared" si="1"/>
        <v>货代公司A</v>
      </c>
      <c r="R113" t="str">
        <f ca="1" t="array" ref="R113">IF(B113=B112,R112,INDIRECT("z"&amp;RANDBETWEEN(2,4)))</f>
        <v>船运</v>
      </c>
      <c r="S113" t="str">
        <f ca="1" t="shared" si="31"/>
        <v>船10094</v>
      </c>
      <c r="T113" t="str">
        <f ca="1" t="shared" si="32"/>
        <v>上海</v>
      </c>
    </row>
    <row r="114" spans="1:20">
      <c r="A114" s="6">
        <v>44075</v>
      </c>
      <c r="B114">
        <v>100112</v>
      </c>
      <c r="C114" t="str">
        <f t="shared" si="23"/>
        <v>唛头95</v>
      </c>
      <c r="D114" t="str">
        <f t="shared" si="24"/>
        <v>发货公司95</v>
      </c>
      <c r="E114" t="str">
        <f t="shared" si="25"/>
        <v>收货公司95</v>
      </c>
      <c r="F114" t="str">
        <f ca="1" t="array" ref="F114">INDIRECT("aa"&amp;RANDBETWEEN(2,19))</f>
        <v>江西省</v>
      </c>
      <c r="G114" t="s">
        <v>23</v>
      </c>
      <c r="H114" t="str">
        <f ca="1" t="array" ref="H114">IF(B114=B113,H113,INDIRECT("x"&amp;RANDBETWEEN(2,28)))</f>
        <v>吉尔吉斯斯坦</v>
      </c>
      <c r="I114" t="str">
        <f ca="1" t="array" ref="I114">"货物"&amp;INDIRECT("u"&amp;RANDBETWEEN(2,29))</f>
        <v>货物M</v>
      </c>
      <c r="J114">
        <f ca="1" t="shared" si="6"/>
        <v>3049</v>
      </c>
      <c r="K114">
        <f ca="1" t="shared" si="7"/>
        <v>63</v>
      </c>
      <c r="L114">
        <f ca="1" t="shared" si="26"/>
        <v>192087</v>
      </c>
      <c r="M114">
        <f ca="1" t="shared" si="27"/>
        <v>366</v>
      </c>
      <c r="N114">
        <f ca="1" t="shared" si="28"/>
        <v>2744.1</v>
      </c>
      <c r="O114">
        <f ca="1" t="shared" si="29"/>
        <v>2359.926</v>
      </c>
      <c r="P114">
        <f ca="1" t="shared" si="30"/>
        <v>611.22</v>
      </c>
      <c r="Q114" t="str">
        <f t="shared" si="1"/>
        <v>货代公司A</v>
      </c>
      <c r="R114" t="str">
        <f ca="1" t="array" ref="R114">IF(B114=B113,R113,INDIRECT("z"&amp;RANDBETWEEN(2,4)))</f>
        <v>陆运</v>
      </c>
      <c r="S114" t="str">
        <f ca="1" t="shared" si="31"/>
        <v>陆10095</v>
      </c>
      <c r="T114" t="str">
        <f ca="1" t="shared" si="32"/>
        <v>宁波</v>
      </c>
    </row>
    <row r="115" spans="1:20">
      <c r="A115" s="6">
        <v>44075</v>
      </c>
      <c r="B115">
        <v>100113</v>
      </c>
      <c r="C115" t="str">
        <f t="shared" si="23"/>
        <v>唛头96</v>
      </c>
      <c r="D115" t="str">
        <f t="shared" si="24"/>
        <v>发货公司96</v>
      </c>
      <c r="E115" t="str">
        <f t="shared" si="25"/>
        <v>收货公司96</v>
      </c>
      <c r="F115" t="str">
        <f ca="1" t="array" ref="F115">INDIRECT("aa"&amp;RANDBETWEEN(2,19))</f>
        <v>四川省</v>
      </c>
      <c r="G115" t="s">
        <v>23</v>
      </c>
      <c r="H115" t="str">
        <f ca="1" t="array" ref="H115">IF(B115=B114,H114,INDIRECT("x"&amp;RANDBETWEEN(2,28)))</f>
        <v>尼加拉瓜</v>
      </c>
      <c r="I115" t="str">
        <f ca="1" t="array" ref="I115">"货物"&amp;INDIRECT("u"&amp;RANDBETWEEN(2,29))</f>
        <v>货物G</v>
      </c>
      <c r="J115">
        <f ca="1" t="shared" si="6"/>
        <v>4424</v>
      </c>
      <c r="K115">
        <f ca="1" t="shared" si="7"/>
        <v>66.7</v>
      </c>
      <c r="L115">
        <f ca="1" t="shared" si="26"/>
        <v>295080.8</v>
      </c>
      <c r="M115">
        <f ca="1" t="shared" si="27"/>
        <v>664</v>
      </c>
      <c r="N115">
        <f ca="1" t="shared" si="28"/>
        <v>4866.4</v>
      </c>
      <c r="O115">
        <f ca="1" t="shared" si="29"/>
        <v>4185.104</v>
      </c>
      <c r="P115">
        <f ca="1" t="shared" si="30"/>
        <v>737.04</v>
      </c>
      <c r="Q115" t="str">
        <f t="shared" si="1"/>
        <v>货代公司A</v>
      </c>
      <c r="R115" t="str">
        <f ca="1" t="array" ref="R115">IF(B115=B114,R114,INDIRECT("z"&amp;RANDBETWEEN(2,4)))</f>
        <v>陆运</v>
      </c>
      <c r="S115" t="str">
        <f ca="1" t="shared" si="31"/>
        <v>陆10096</v>
      </c>
      <c r="T115" t="str">
        <f ca="1" t="shared" si="32"/>
        <v>天津</v>
      </c>
    </row>
    <row r="116" spans="1:20">
      <c r="A116" s="6">
        <v>44075</v>
      </c>
      <c r="B116">
        <v>100114</v>
      </c>
      <c r="C116" t="str">
        <f t="shared" si="23"/>
        <v>唛头97</v>
      </c>
      <c r="D116" t="str">
        <f t="shared" si="24"/>
        <v>发货公司97</v>
      </c>
      <c r="E116" t="str">
        <f t="shared" si="25"/>
        <v>收货公司97</v>
      </c>
      <c r="F116" t="str">
        <f ca="1" t="array" ref="F116">INDIRECT("aa"&amp;RANDBETWEEN(2,19))</f>
        <v>贵州省</v>
      </c>
      <c r="G116" t="s">
        <v>23</v>
      </c>
      <c r="H116" t="str">
        <f ca="1" t="array" ref="H116">IF(B116=B115,H115,INDIRECT("x"&amp;RANDBETWEEN(2,28)))</f>
        <v>哈萨克斯坦</v>
      </c>
      <c r="I116" t="str">
        <f ca="1" t="array" ref="I116">"货物"&amp;INDIRECT("u"&amp;RANDBETWEEN(2,29))</f>
        <v>货物Q</v>
      </c>
      <c r="J116">
        <f ca="1" t="shared" si="6"/>
        <v>2978</v>
      </c>
      <c r="K116">
        <f ca="1" t="shared" si="7"/>
        <v>32.2</v>
      </c>
      <c r="L116">
        <f ca="1" t="shared" si="26"/>
        <v>95891.6</v>
      </c>
      <c r="M116">
        <f ca="1" t="shared" si="27"/>
        <v>149</v>
      </c>
      <c r="N116">
        <f ca="1" t="shared" si="28"/>
        <v>5658.2</v>
      </c>
      <c r="O116">
        <f ca="1" t="shared" si="29"/>
        <v>4752.888</v>
      </c>
      <c r="P116">
        <f ca="1" t="shared" si="30"/>
        <v>150.49</v>
      </c>
      <c r="Q116" t="str">
        <f t="shared" si="1"/>
        <v>货代公司A</v>
      </c>
      <c r="R116" t="str">
        <f ca="1" t="array" ref="R116">IF(B116=B115,R115,INDIRECT("z"&amp;RANDBETWEEN(2,4)))</f>
        <v>船运</v>
      </c>
      <c r="S116" t="str">
        <f ca="1" t="shared" si="31"/>
        <v>船10097</v>
      </c>
      <c r="T116" t="str">
        <f ca="1" t="shared" si="32"/>
        <v>佛山</v>
      </c>
    </row>
    <row r="117" spans="1:20">
      <c r="A117" s="6">
        <v>44075</v>
      </c>
      <c r="B117">
        <v>100115</v>
      </c>
      <c r="C117" t="str">
        <f t="shared" si="23"/>
        <v>唛头98</v>
      </c>
      <c r="D117" t="str">
        <f t="shared" si="24"/>
        <v>发货公司98</v>
      </c>
      <c r="E117" t="str">
        <f t="shared" si="25"/>
        <v>收货公司98</v>
      </c>
      <c r="F117" t="str">
        <f ca="1" t="array" ref="F117">INDIRECT("aa"&amp;RANDBETWEEN(2,19))</f>
        <v>安徽省</v>
      </c>
      <c r="G117" t="s">
        <v>23</v>
      </c>
      <c r="H117" t="str">
        <f ca="1" t="array" ref="H117">IF(B117=B116,H116,INDIRECT("x"&amp;RANDBETWEEN(2,28)))</f>
        <v>墨西哥</v>
      </c>
      <c r="I117" t="str">
        <f ca="1" t="array" ref="I117">"货物"&amp;INDIRECT("u"&amp;RANDBETWEEN(2,29))</f>
        <v>货物I</v>
      </c>
      <c r="J117">
        <f ca="1" t="shared" si="6"/>
        <v>3562</v>
      </c>
      <c r="K117">
        <f ca="1" t="shared" si="7"/>
        <v>93</v>
      </c>
      <c r="L117">
        <f ca="1" t="shared" si="26"/>
        <v>331266</v>
      </c>
      <c r="M117">
        <f ca="1" t="shared" si="27"/>
        <v>178</v>
      </c>
      <c r="N117">
        <f ca="1" t="shared" si="28"/>
        <v>3205.8</v>
      </c>
      <c r="O117">
        <f ca="1" t="shared" si="29"/>
        <v>2756.988</v>
      </c>
      <c r="P117">
        <f ca="1" t="shared" si="30"/>
        <v>293.7</v>
      </c>
      <c r="Q117" t="str">
        <f t="shared" si="1"/>
        <v>货代公司A</v>
      </c>
      <c r="R117" t="str">
        <f ca="1" t="array" ref="R117">IF(B117=B116,R116,INDIRECT("z"&amp;RANDBETWEEN(2,4)))</f>
        <v>陆运</v>
      </c>
      <c r="S117" t="str">
        <f ca="1" t="shared" si="31"/>
        <v>陆10098</v>
      </c>
      <c r="T117" t="str">
        <f ca="1" t="shared" si="32"/>
        <v>上海</v>
      </c>
    </row>
    <row r="118" spans="1:20">
      <c r="A118" s="6">
        <v>44075</v>
      </c>
      <c r="B118">
        <v>100116</v>
      </c>
      <c r="C118" t="str">
        <f t="shared" si="23"/>
        <v>唛头99</v>
      </c>
      <c r="D118" t="str">
        <f t="shared" si="24"/>
        <v>发货公司99</v>
      </c>
      <c r="E118" t="str">
        <f t="shared" si="25"/>
        <v>收货公司99</v>
      </c>
      <c r="F118" t="str">
        <f ca="1" t="array" ref="F118">INDIRECT("aa"&amp;RANDBETWEEN(2,19))</f>
        <v>山西省</v>
      </c>
      <c r="G118" t="s">
        <v>23</v>
      </c>
      <c r="H118" t="str">
        <f ca="1" t="array" ref="H118">IF(B118=B117,H117,INDIRECT("x"&amp;RANDBETWEEN(2,28)))</f>
        <v>墨西哥</v>
      </c>
      <c r="I118" t="str">
        <f ca="1" t="array" ref="I118">"货物"&amp;INDIRECT("u"&amp;RANDBETWEEN(2,29))</f>
        <v>货物G</v>
      </c>
      <c r="J118">
        <f ca="1" t="shared" si="6"/>
        <v>2707</v>
      </c>
      <c r="K118">
        <f ca="1" t="shared" si="7"/>
        <v>21.9</v>
      </c>
      <c r="L118">
        <f ca="1" t="shared" si="26"/>
        <v>59283.3</v>
      </c>
      <c r="M118">
        <f ca="1" t="shared" si="27"/>
        <v>298</v>
      </c>
      <c r="N118">
        <f ca="1" t="shared" si="28"/>
        <v>1353.5</v>
      </c>
      <c r="O118">
        <f ca="1" t="shared" si="29"/>
        <v>1218.15</v>
      </c>
      <c r="P118">
        <f ca="1" t="shared" si="30"/>
        <v>250.32</v>
      </c>
      <c r="Q118" t="str">
        <f t="shared" si="1"/>
        <v>货代公司A</v>
      </c>
      <c r="R118" t="str">
        <f ca="1" t="array" ref="R118">IF(B118=B117,R117,INDIRECT("z"&amp;RANDBETWEEN(2,4)))</f>
        <v>船运</v>
      </c>
      <c r="S118" t="str">
        <f ca="1" t="shared" si="31"/>
        <v>船10099</v>
      </c>
      <c r="T118" t="str">
        <f ca="1" t="shared" si="32"/>
        <v>天津</v>
      </c>
    </row>
    <row r="119" spans="1:20">
      <c r="A119" s="6">
        <v>44075</v>
      </c>
      <c r="B119">
        <v>100116</v>
      </c>
      <c r="C119" t="str">
        <f t="shared" si="23"/>
        <v>唛头99</v>
      </c>
      <c r="D119" t="str">
        <f t="shared" si="24"/>
        <v>发货公司99</v>
      </c>
      <c r="E119" t="str">
        <f t="shared" si="25"/>
        <v>收货公司99</v>
      </c>
      <c r="F119" t="str">
        <f ca="1" t="array" ref="F119">INDIRECT("aa"&amp;RANDBETWEEN(2,19))</f>
        <v>江西省</v>
      </c>
      <c r="G119" t="s">
        <v>23</v>
      </c>
      <c r="H119" t="str">
        <f ca="1" t="array" ref="H119">IF(B119=B118,H118,INDIRECT("x"&amp;RANDBETWEEN(2,28)))</f>
        <v>墨西哥</v>
      </c>
      <c r="I119" t="str">
        <f ca="1" t="array" ref="I119">"货物"&amp;INDIRECT("u"&amp;RANDBETWEEN(2,29))</f>
        <v>货物S</v>
      </c>
      <c r="J119">
        <f ca="1" t="shared" si="6"/>
        <v>4790</v>
      </c>
      <c r="K119">
        <f ca="1" t="shared" si="7"/>
        <v>46.8</v>
      </c>
      <c r="L119">
        <f ca="1" t="shared" si="26"/>
        <v>224172</v>
      </c>
      <c r="M119">
        <f ca="1" t="shared" si="27"/>
        <v>335</v>
      </c>
      <c r="N119">
        <f ca="1" t="shared" si="28"/>
        <v>6706</v>
      </c>
      <c r="O119">
        <f ca="1" t="shared" si="29"/>
        <v>5633.04</v>
      </c>
      <c r="P119">
        <f ca="1" t="shared" si="30"/>
        <v>331.65</v>
      </c>
      <c r="Q119" t="str">
        <f t="shared" si="1"/>
        <v>货代公司A</v>
      </c>
      <c r="R119" t="str">
        <f ca="1" t="array" ref="R119">IF(B119=B118,R118,INDIRECT("z"&amp;RANDBETWEEN(2,4)))</f>
        <v>船运</v>
      </c>
      <c r="S119" t="str">
        <f ca="1" t="shared" si="31"/>
        <v>船10099</v>
      </c>
      <c r="T119" t="str">
        <f ca="1" t="shared" si="32"/>
        <v>宁波</v>
      </c>
    </row>
    <row r="120" spans="1:20">
      <c r="A120" s="6">
        <v>44075</v>
      </c>
      <c r="B120">
        <v>100118</v>
      </c>
      <c r="C120" t="str">
        <f t="shared" si="23"/>
        <v>唛头100</v>
      </c>
      <c r="D120" t="str">
        <f t="shared" si="24"/>
        <v>发货公司100</v>
      </c>
      <c r="E120" t="str">
        <f t="shared" si="25"/>
        <v>收货公司100</v>
      </c>
      <c r="F120" t="str">
        <f ca="1" t="array" ref="F120">INDIRECT("aa"&amp;RANDBETWEEN(2,19))</f>
        <v>广东省</v>
      </c>
      <c r="G120" t="s">
        <v>23</v>
      </c>
      <c r="H120" t="str">
        <f ca="1" t="array" ref="H120">IF(B120=B119,H119,INDIRECT("x"&amp;RANDBETWEEN(2,28)))</f>
        <v>墨西哥</v>
      </c>
      <c r="I120" t="str">
        <f ca="1" t="array" ref="I120">"货物"&amp;INDIRECT("u"&amp;RANDBETWEEN(2,29))</f>
        <v>货物F</v>
      </c>
      <c r="J120">
        <f ca="1" t="shared" si="6"/>
        <v>4166</v>
      </c>
      <c r="K120">
        <f ca="1" t="shared" si="7"/>
        <v>30.5</v>
      </c>
      <c r="L120">
        <f ca="1" t="shared" si="26"/>
        <v>127063</v>
      </c>
      <c r="M120">
        <f ca="1" t="shared" si="27"/>
        <v>208</v>
      </c>
      <c r="N120">
        <f ca="1" t="shared" si="28"/>
        <v>11664.8</v>
      </c>
      <c r="O120">
        <f ca="1" t="shared" si="29"/>
        <v>10381.672</v>
      </c>
      <c r="P120">
        <f ca="1" t="shared" si="30"/>
        <v>226.72</v>
      </c>
      <c r="Q120" t="str">
        <f t="shared" si="1"/>
        <v>货代公司A</v>
      </c>
      <c r="R120" t="str">
        <f ca="1" t="array" ref="R120">IF(B120=B119,R119,INDIRECT("z"&amp;RANDBETWEEN(2,4)))</f>
        <v>船运</v>
      </c>
      <c r="S120" t="str">
        <f ca="1" t="shared" si="31"/>
        <v>船10100</v>
      </c>
      <c r="T120" t="str">
        <f ca="1" t="shared" si="32"/>
        <v>东莞</v>
      </c>
    </row>
    <row r="121" spans="1:20">
      <c r="A121" s="6">
        <v>44075</v>
      </c>
      <c r="B121">
        <v>100119</v>
      </c>
      <c r="C121" t="str">
        <f t="shared" si="23"/>
        <v>唛头101</v>
      </c>
      <c r="D121" t="str">
        <f t="shared" si="24"/>
        <v>发货公司101</v>
      </c>
      <c r="E121" t="str">
        <f t="shared" si="25"/>
        <v>收货公司101</v>
      </c>
      <c r="F121" t="str">
        <f ca="1" t="array" ref="F121">INDIRECT("aa"&amp;RANDBETWEEN(2,19))</f>
        <v>贵州省</v>
      </c>
      <c r="G121" t="s">
        <v>23</v>
      </c>
      <c r="H121" t="str">
        <f ca="1" t="array" ref="H121">IF(B121=B120,H120,INDIRECT("x"&amp;RANDBETWEEN(2,28)))</f>
        <v>塔吉克斯坦</v>
      </c>
      <c r="I121" t="str">
        <f ca="1" t="array" ref="I121">"货物"&amp;INDIRECT("u"&amp;RANDBETWEEN(2,29))</f>
        <v>货物F</v>
      </c>
      <c r="J121">
        <f ca="1" t="shared" si="6"/>
        <v>4507</v>
      </c>
      <c r="K121">
        <f ca="1" t="shared" si="7"/>
        <v>37.6</v>
      </c>
      <c r="L121">
        <f ca="1" t="shared" si="26"/>
        <v>169463.2</v>
      </c>
      <c r="M121">
        <f ca="1" t="shared" si="27"/>
        <v>406</v>
      </c>
      <c r="N121">
        <f ca="1" t="shared" si="28"/>
        <v>8563.3</v>
      </c>
      <c r="O121">
        <f ca="1" t="shared" si="29"/>
        <v>7450.071</v>
      </c>
      <c r="P121">
        <f ca="1" t="shared" si="30"/>
        <v>336.98</v>
      </c>
      <c r="Q121" t="str">
        <f t="shared" si="1"/>
        <v>货代公司A</v>
      </c>
      <c r="R121" t="str">
        <f ca="1" t="array" ref="R121">IF(B121=B120,R120,INDIRECT("z"&amp;RANDBETWEEN(2,4)))</f>
        <v>船运</v>
      </c>
      <c r="S121" t="str">
        <f ca="1" t="shared" si="31"/>
        <v>船10101</v>
      </c>
      <c r="T121" t="str">
        <f ca="1" t="shared" si="32"/>
        <v>广州</v>
      </c>
    </row>
    <row r="122" spans="1:20">
      <c r="A122" s="6">
        <v>44075</v>
      </c>
      <c r="B122">
        <v>100120</v>
      </c>
      <c r="C122" t="str">
        <f t="shared" si="23"/>
        <v>唛头102</v>
      </c>
      <c r="D122" t="str">
        <f t="shared" si="24"/>
        <v>发货公司102</v>
      </c>
      <c r="E122" t="str">
        <f t="shared" si="25"/>
        <v>收货公司102</v>
      </c>
      <c r="F122" t="str">
        <f ca="1" t="array" ref="F122">INDIRECT("aa"&amp;RANDBETWEEN(2,19))</f>
        <v>贵州省</v>
      </c>
      <c r="G122" t="s">
        <v>23</v>
      </c>
      <c r="H122" t="str">
        <f ca="1" t="array" ref="H122">IF(B122=B121,H121,INDIRECT("x"&amp;RANDBETWEEN(2,28)))</f>
        <v>墨西哥</v>
      </c>
      <c r="I122" t="str">
        <f ca="1" t="array" ref="I122">"货物"&amp;INDIRECT("u"&amp;RANDBETWEEN(2,29))</f>
        <v>货物J</v>
      </c>
      <c r="J122">
        <f ca="1" t="shared" si="6"/>
        <v>2745</v>
      </c>
      <c r="K122">
        <f ca="1" t="shared" si="7"/>
        <v>82.8</v>
      </c>
      <c r="L122">
        <f ca="1" t="shared" si="26"/>
        <v>227286</v>
      </c>
      <c r="M122">
        <f ca="1" t="shared" si="27"/>
        <v>275</v>
      </c>
      <c r="N122">
        <f ca="1" t="shared" si="28"/>
        <v>9882</v>
      </c>
      <c r="O122">
        <f ca="1" t="shared" si="29"/>
        <v>8300.88</v>
      </c>
      <c r="P122">
        <f ca="1" t="shared" si="30"/>
        <v>341</v>
      </c>
      <c r="Q122" t="str">
        <f t="shared" si="1"/>
        <v>货代公司A</v>
      </c>
      <c r="R122" t="str">
        <f ca="1" t="array" ref="R122">IF(B122=B121,R121,INDIRECT("z"&amp;RANDBETWEEN(2,4)))</f>
        <v>空运</v>
      </c>
      <c r="S122" t="str">
        <f ca="1" t="shared" si="31"/>
        <v>空10102</v>
      </c>
      <c r="T122" t="str">
        <f ca="1" t="shared" si="32"/>
        <v>佛山</v>
      </c>
    </row>
    <row r="123" spans="1:20">
      <c r="A123" s="6">
        <v>44075</v>
      </c>
      <c r="B123">
        <v>100121</v>
      </c>
      <c r="C123" t="str">
        <f t="shared" si="23"/>
        <v>唛头103</v>
      </c>
      <c r="D123" t="str">
        <f t="shared" si="24"/>
        <v>发货公司103</v>
      </c>
      <c r="E123" t="str">
        <f t="shared" si="25"/>
        <v>收货公司103</v>
      </c>
      <c r="F123" t="str">
        <f ca="1" t="array" ref="F123">INDIRECT("aa"&amp;RANDBETWEEN(2,19))</f>
        <v>河南省</v>
      </c>
      <c r="G123" t="s">
        <v>23</v>
      </c>
      <c r="H123" t="str">
        <f ca="1" t="array" ref="H123">IF(B123=B122,H122,INDIRECT("x"&amp;RANDBETWEEN(2,28)))</f>
        <v>日本</v>
      </c>
      <c r="I123" t="str">
        <f ca="1" t="array" ref="I123">"货物"&amp;INDIRECT("u"&amp;RANDBETWEEN(2,29))</f>
        <v>货物M</v>
      </c>
      <c r="J123">
        <f ca="1" t="shared" si="6"/>
        <v>1470</v>
      </c>
      <c r="K123">
        <f ca="1" t="shared" si="7"/>
        <v>42.4</v>
      </c>
      <c r="L123">
        <f ca="1" t="shared" si="26"/>
        <v>62328</v>
      </c>
      <c r="M123">
        <f ca="1" t="shared" si="27"/>
        <v>74</v>
      </c>
      <c r="N123">
        <f ca="1" t="shared" si="28"/>
        <v>1029</v>
      </c>
      <c r="O123">
        <f ca="1" t="shared" si="29"/>
        <v>843.78</v>
      </c>
      <c r="P123">
        <f ca="1" t="shared" si="30"/>
        <v>91.76</v>
      </c>
      <c r="Q123" t="str">
        <f t="shared" si="1"/>
        <v>货代公司A</v>
      </c>
      <c r="R123" t="str">
        <f ca="1" t="array" ref="R123">IF(B123=B122,R122,INDIRECT("z"&amp;RANDBETWEEN(2,4)))</f>
        <v>陆运</v>
      </c>
      <c r="S123" t="str">
        <f ca="1" t="shared" si="31"/>
        <v>陆10103</v>
      </c>
      <c r="T123" t="str">
        <f ca="1" t="shared" si="32"/>
        <v>上海</v>
      </c>
    </row>
    <row r="124" spans="1:20">
      <c r="A124" s="6">
        <v>44075</v>
      </c>
      <c r="B124">
        <v>100122</v>
      </c>
      <c r="C124" t="str">
        <f t="shared" si="23"/>
        <v>唛头104</v>
      </c>
      <c r="D124" t="str">
        <f t="shared" si="24"/>
        <v>发货公司104</v>
      </c>
      <c r="E124" t="str">
        <f t="shared" si="25"/>
        <v>收货公司104</v>
      </c>
      <c r="F124" t="str">
        <f ca="1" t="array" ref="F124">INDIRECT("aa"&amp;RANDBETWEEN(2,19))</f>
        <v>安徽省</v>
      </c>
      <c r="G124" t="s">
        <v>23</v>
      </c>
      <c r="H124" t="str">
        <f ca="1" t="array" ref="H124">IF(B124=B123,H123,INDIRECT("x"&amp;RANDBETWEEN(2,28)))</f>
        <v>斯洛伐克</v>
      </c>
      <c r="I124" t="str">
        <f ca="1" t="array" ref="I124">"货物"&amp;INDIRECT("u"&amp;RANDBETWEEN(2,29))</f>
        <v>货物L</v>
      </c>
      <c r="J124">
        <f ca="1" t="shared" si="6"/>
        <v>4362</v>
      </c>
      <c r="K124">
        <f ca="1" t="shared" si="7"/>
        <v>24.5</v>
      </c>
      <c r="L124">
        <f ca="1" t="shared" si="26"/>
        <v>106869</v>
      </c>
      <c r="M124">
        <f ca="1" t="shared" si="27"/>
        <v>523</v>
      </c>
      <c r="N124">
        <f ca="1" t="shared" si="28"/>
        <v>2181</v>
      </c>
      <c r="O124">
        <f ca="1" t="shared" si="29"/>
        <v>1832.04</v>
      </c>
      <c r="P124">
        <f ca="1" t="shared" si="30"/>
        <v>847.26</v>
      </c>
      <c r="Q124" t="str">
        <f t="shared" si="1"/>
        <v>货代公司A</v>
      </c>
      <c r="R124" t="str">
        <f ca="1" t="array" ref="R124">IF(B124=B123,R123,INDIRECT("z"&amp;RANDBETWEEN(2,4)))</f>
        <v>陆运</v>
      </c>
      <c r="S124" t="str">
        <f ca="1" t="shared" si="31"/>
        <v>陆10104</v>
      </c>
      <c r="T124" t="str">
        <f ca="1" t="shared" si="32"/>
        <v>宁波</v>
      </c>
    </row>
    <row r="125" spans="1:20">
      <c r="A125" s="6">
        <v>44075</v>
      </c>
      <c r="B125">
        <v>100123</v>
      </c>
      <c r="C125" t="str">
        <f t="shared" si="23"/>
        <v>唛头105</v>
      </c>
      <c r="D125" t="str">
        <f t="shared" si="24"/>
        <v>发货公司105</v>
      </c>
      <c r="E125" t="str">
        <f t="shared" si="25"/>
        <v>收货公司105</v>
      </c>
      <c r="F125" t="str">
        <f ca="1" t="array" ref="F125">INDIRECT("aa"&amp;RANDBETWEEN(2,19))</f>
        <v>河南省</v>
      </c>
      <c r="G125" t="s">
        <v>23</v>
      </c>
      <c r="H125" t="str">
        <f ca="1" t="array" ref="H125">IF(B125=B124,H124,INDIRECT("x"&amp;RANDBETWEEN(2,28)))</f>
        <v>日本</v>
      </c>
      <c r="I125" t="str">
        <f ca="1" t="array" ref="I125">"货物"&amp;INDIRECT("u"&amp;RANDBETWEEN(2,29))</f>
        <v>货物U</v>
      </c>
      <c r="J125">
        <f ca="1" t="shared" si="6"/>
        <v>637</v>
      </c>
      <c r="K125">
        <f ca="1" t="shared" si="7"/>
        <v>5.1</v>
      </c>
      <c r="L125">
        <f ca="1" t="shared" si="26"/>
        <v>3248.7</v>
      </c>
      <c r="M125">
        <f ca="1" t="shared" si="27"/>
        <v>76</v>
      </c>
      <c r="N125">
        <f ca="1" t="shared" si="28"/>
        <v>2293.2</v>
      </c>
      <c r="O125">
        <f ca="1" t="shared" si="29"/>
        <v>2040.948</v>
      </c>
      <c r="P125">
        <f ca="1" t="shared" si="30"/>
        <v>131.48</v>
      </c>
      <c r="Q125" t="str">
        <f t="shared" si="1"/>
        <v>货代公司A</v>
      </c>
      <c r="R125" t="str">
        <f ca="1" t="array" ref="R125">IF(B125=B124,R124,INDIRECT("z"&amp;RANDBETWEEN(2,4)))</f>
        <v>陆运</v>
      </c>
      <c r="S125" t="str">
        <f ca="1" t="shared" si="31"/>
        <v>陆10105</v>
      </c>
      <c r="T125" t="str">
        <f ca="1" t="shared" si="32"/>
        <v>上海</v>
      </c>
    </row>
    <row r="126" spans="1:20">
      <c r="A126" s="6">
        <v>44075</v>
      </c>
      <c r="B126">
        <v>100124</v>
      </c>
      <c r="C126" t="str">
        <f t="shared" si="23"/>
        <v>唛头106</v>
      </c>
      <c r="D126" t="str">
        <f t="shared" si="24"/>
        <v>发货公司106</v>
      </c>
      <c r="E126" t="str">
        <f t="shared" si="25"/>
        <v>收货公司106</v>
      </c>
      <c r="F126" t="str">
        <f ca="1" t="array" ref="F126">INDIRECT("aa"&amp;RANDBETWEEN(2,19))</f>
        <v>湖北省</v>
      </c>
      <c r="G126" t="s">
        <v>23</v>
      </c>
      <c r="H126" t="str">
        <f ca="1" t="array" ref="H126">IF(B126=B125,H125,INDIRECT("x"&amp;RANDBETWEEN(2,28)))</f>
        <v>日本</v>
      </c>
      <c r="I126" t="str">
        <f ca="1" t="array" ref="I126">"货物"&amp;INDIRECT("u"&amp;RANDBETWEEN(2,29))</f>
        <v>货物Q</v>
      </c>
      <c r="J126">
        <f ca="1" t="shared" si="6"/>
        <v>4050</v>
      </c>
      <c r="K126">
        <f ca="1" t="shared" si="7"/>
        <v>94.7</v>
      </c>
      <c r="L126">
        <f ca="1" t="shared" si="26"/>
        <v>383535</v>
      </c>
      <c r="M126">
        <f ca="1" t="shared" si="27"/>
        <v>324</v>
      </c>
      <c r="N126">
        <f ca="1" t="shared" si="28"/>
        <v>6885</v>
      </c>
      <c r="O126">
        <f ca="1" t="shared" si="29"/>
        <v>5576.85</v>
      </c>
      <c r="P126">
        <f ca="1" t="shared" si="30"/>
        <v>307.8</v>
      </c>
      <c r="Q126" t="str">
        <f t="shared" si="1"/>
        <v>货代公司A</v>
      </c>
      <c r="R126" t="str">
        <f ca="1" t="array" ref="R126">IF(B126=B125,R125,INDIRECT("z"&amp;RANDBETWEEN(2,4)))</f>
        <v>空运</v>
      </c>
      <c r="S126" t="str">
        <f ca="1" t="shared" si="31"/>
        <v>空10106</v>
      </c>
      <c r="T126" t="str">
        <f ca="1" t="shared" si="32"/>
        <v>天津</v>
      </c>
    </row>
    <row r="127" spans="1:20">
      <c r="A127" s="6">
        <v>44075</v>
      </c>
      <c r="B127">
        <v>100125</v>
      </c>
      <c r="C127" t="str">
        <f t="shared" si="23"/>
        <v>唛头107</v>
      </c>
      <c r="D127" t="str">
        <f t="shared" si="24"/>
        <v>发货公司107</v>
      </c>
      <c r="E127" t="str">
        <f t="shared" si="25"/>
        <v>收货公司107</v>
      </c>
      <c r="F127" t="str">
        <f ca="1" t="array" ref="F127">INDIRECT("aa"&amp;RANDBETWEEN(2,19))</f>
        <v>浙江省</v>
      </c>
      <c r="G127" t="s">
        <v>23</v>
      </c>
      <c r="H127" t="str">
        <f ca="1" t="array" ref="H127">IF(B127=B126,H126,INDIRECT("x"&amp;RANDBETWEEN(2,28)))</f>
        <v>越南</v>
      </c>
      <c r="I127" t="str">
        <f ca="1" t="array" ref="I127">"货物"&amp;INDIRECT("u"&amp;RANDBETWEEN(2,29))</f>
        <v>货物A</v>
      </c>
      <c r="J127">
        <f ca="1" t="shared" si="6"/>
        <v>1608</v>
      </c>
      <c r="K127">
        <f ca="1" t="shared" si="7"/>
        <v>40.3</v>
      </c>
      <c r="L127">
        <f ca="1" t="shared" si="26"/>
        <v>64802.4</v>
      </c>
      <c r="M127">
        <f ca="1" t="shared" si="27"/>
        <v>193</v>
      </c>
      <c r="N127">
        <f ca="1" t="shared" si="28"/>
        <v>6110.4</v>
      </c>
      <c r="O127">
        <f ca="1" t="shared" si="29"/>
        <v>5193.84</v>
      </c>
      <c r="P127">
        <f ca="1" t="shared" si="30"/>
        <v>281.78</v>
      </c>
      <c r="Q127" t="str">
        <f t="shared" si="1"/>
        <v>货代公司A</v>
      </c>
      <c r="R127" t="str">
        <f ca="1" t="array" ref="R127">IF(B127=B126,R126,INDIRECT("z"&amp;RANDBETWEEN(2,4)))</f>
        <v>船运</v>
      </c>
      <c r="S127" t="str">
        <f ca="1" t="shared" si="31"/>
        <v>船10107</v>
      </c>
      <c r="T127" t="str">
        <f ca="1" t="shared" si="32"/>
        <v>上海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7"/>
  <sheetViews>
    <sheetView topLeftCell="A92" workbookViewId="0">
      <selection activeCell="M107" sqref="M107"/>
    </sheetView>
  </sheetViews>
  <sheetFormatPr defaultColWidth="9" defaultRowHeight="13.8"/>
  <cols>
    <col min="1" max="1" width="7.5" customWidth="1"/>
    <col min="2" max="2" width="8.25" customWidth="1"/>
    <col min="3" max="4" width="12.25" customWidth="1"/>
    <col min="5" max="5" width="11" customWidth="1"/>
    <col min="6" max="6" width="7.12962962962963" customWidth="1"/>
    <col min="7" max="7" width="13" customWidth="1"/>
    <col min="9" max="10" width="5.5" customWidth="1"/>
    <col min="11" max="11" width="9.5" customWidth="1"/>
    <col min="12" max="12" width="11" customWidth="1"/>
    <col min="13" max="13" width="8.5" customWidth="1"/>
    <col min="14" max="14" width="10.5" customWidth="1"/>
    <col min="15" max="15" width="12.3796296296296" customWidth="1"/>
    <col min="16" max="16" width="11" customWidth="1"/>
    <col min="18" max="18" width="13" customWidth="1"/>
    <col min="19" max="19" width="7.12962962962963" customWidth="1"/>
  </cols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>
        <v>100001</v>
      </c>
      <c r="B2" t="s">
        <v>20</v>
      </c>
      <c r="C2" t="s">
        <v>21</v>
      </c>
      <c r="D2" t="s">
        <v>22</v>
      </c>
      <c r="E2" t="s">
        <v>54</v>
      </c>
      <c r="F2" t="s">
        <v>23</v>
      </c>
      <c r="G2" t="s">
        <v>90</v>
      </c>
      <c r="H2" t="s">
        <v>112</v>
      </c>
      <c r="I2">
        <v>1309</v>
      </c>
      <c r="J2">
        <v>12.3</v>
      </c>
      <c r="K2">
        <v>16100.7</v>
      </c>
      <c r="L2">
        <v>92</v>
      </c>
      <c r="M2">
        <v>392.7</v>
      </c>
      <c r="N2">
        <v>314.16</v>
      </c>
      <c r="O2">
        <v>96.6</v>
      </c>
      <c r="P2" t="s">
        <v>24</v>
      </c>
      <c r="Q2" t="s">
        <v>42</v>
      </c>
      <c r="R2" t="s">
        <v>113</v>
      </c>
      <c r="S2" t="s">
        <v>55</v>
      </c>
    </row>
    <row r="3" spans="1:19">
      <c r="A3">
        <v>100001</v>
      </c>
      <c r="B3" t="s">
        <v>20</v>
      </c>
      <c r="C3" t="s">
        <v>21</v>
      </c>
      <c r="D3" t="s">
        <v>22</v>
      </c>
      <c r="E3" t="s">
        <v>37</v>
      </c>
      <c r="F3" t="s">
        <v>23</v>
      </c>
      <c r="G3" t="s">
        <v>90</v>
      </c>
      <c r="H3" t="s">
        <v>114</v>
      </c>
      <c r="I3">
        <v>3545</v>
      </c>
      <c r="J3">
        <v>23.6</v>
      </c>
      <c r="K3">
        <v>83662</v>
      </c>
      <c r="L3">
        <v>248</v>
      </c>
      <c r="M3">
        <v>2481.5</v>
      </c>
      <c r="N3">
        <v>2158.905</v>
      </c>
      <c r="O3">
        <v>424.08</v>
      </c>
      <c r="P3" t="s">
        <v>24</v>
      </c>
      <c r="Q3" t="s">
        <v>42</v>
      </c>
      <c r="R3" t="s">
        <v>113</v>
      </c>
      <c r="S3" t="s">
        <v>30</v>
      </c>
    </row>
    <row r="4" spans="1:19">
      <c r="A4">
        <v>100002</v>
      </c>
      <c r="B4" t="s">
        <v>115</v>
      </c>
      <c r="C4" t="s">
        <v>116</v>
      </c>
      <c r="D4" t="s">
        <v>117</v>
      </c>
      <c r="E4" t="s">
        <v>43</v>
      </c>
      <c r="F4" t="s">
        <v>23</v>
      </c>
      <c r="G4" t="s">
        <v>75</v>
      </c>
      <c r="H4" t="s">
        <v>118</v>
      </c>
      <c r="I4">
        <v>1544</v>
      </c>
      <c r="J4">
        <v>27.2</v>
      </c>
      <c r="K4">
        <v>41996.8</v>
      </c>
      <c r="L4">
        <v>201</v>
      </c>
      <c r="M4">
        <v>154.4</v>
      </c>
      <c r="N4">
        <v>131.24</v>
      </c>
      <c r="O4">
        <v>194.97</v>
      </c>
      <c r="P4" t="s">
        <v>24</v>
      </c>
      <c r="Q4" t="s">
        <v>36</v>
      </c>
      <c r="R4" t="s">
        <v>119</v>
      </c>
      <c r="S4" t="s">
        <v>31</v>
      </c>
    </row>
    <row r="5" spans="1:19">
      <c r="A5">
        <v>100003</v>
      </c>
      <c r="B5" t="s">
        <v>120</v>
      </c>
      <c r="C5" t="s">
        <v>121</v>
      </c>
      <c r="D5" t="s">
        <v>122</v>
      </c>
      <c r="E5" t="s">
        <v>43</v>
      </c>
      <c r="F5" t="s">
        <v>23</v>
      </c>
      <c r="G5" t="s">
        <v>35</v>
      </c>
      <c r="H5" t="s">
        <v>123</v>
      </c>
      <c r="I5">
        <v>3389</v>
      </c>
      <c r="J5">
        <v>71.7</v>
      </c>
      <c r="K5">
        <v>242991.3</v>
      </c>
      <c r="L5">
        <v>508</v>
      </c>
      <c r="M5">
        <v>4066.8</v>
      </c>
      <c r="N5">
        <v>3253.44</v>
      </c>
      <c r="O5">
        <v>919.48</v>
      </c>
      <c r="P5" t="s">
        <v>24</v>
      </c>
      <c r="Q5" t="s">
        <v>28</v>
      </c>
      <c r="R5" t="s">
        <v>124</v>
      </c>
      <c r="S5" t="s">
        <v>30</v>
      </c>
    </row>
    <row r="6" spans="1:19">
      <c r="A6">
        <v>100004</v>
      </c>
      <c r="B6" t="s">
        <v>125</v>
      </c>
      <c r="C6" t="s">
        <v>126</v>
      </c>
      <c r="D6" t="s">
        <v>127</v>
      </c>
      <c r="E6" t="s">
        <v>48</v>
      </c>
      <c r="F6" t="s">
        <v>23</v>
      </c>
      <c r="G6" t="s">
        <v>58</v>
      </c>
      <c r="H6" t="s">
        <v>128</v>
      </c>
      <c r="I6">
        <v>2457</v>
      </c>
      <c r="J6">
        <v>54.6</v>
      </c>
      <c r="K6">
        <v>134152.2</v>
      </c>
      <c r="L6">
        <v>197</v>
      </c>
      <c r="M6">
        <v>7125.3</v>
      </c>
      <c r="N6">
        <v>6127.758</v>
      </c>
      <c r="O6">
        <v>271.86</v>
      </c>
      <c r="P6" t="s">
        <v>24</v>
      </c>
      <c r="Q6" t="s">
        <v>42</v>
      </c>
      <c r="R6" t="s">
        <v>129</v>
      </c>
      <c r="S6" t="s">
        <v>31</v>
      </c>
    </row>
    <row r="7" spans="1:19">
      <c r="A7">
        <v>100005</v>
      </c>
      <c r="B7" t="s">
        <v>130</v>
      </c>
      <c r="C7" t="s">
        <v>131</v>
      </c>
      <c r="D7" t="s">
        <v>132</v>
      </c>
      <c r="E7" t="s">
        <v>29</v>
      </c>
      <c r="F7" t="s">
        <v>23</v>
      </c>
      <c r="G7" t="s">
        <v>27</v>
      </c>
      <c r="H7" t="s">
        <v>118</v>
      </c>
      <c r="I7">
        <v>4350</v>
      </c>
      <c r="J7">
        <v>88.8</v>
      </c>
      <c r="K7">
        <v>386280</v>
      </c>
      <c r="L7">
        <v>435</v>
      </c>
      <c r="M7">
        <v>6960</v>
      </c>
      <c r="N7">
        <v>5707.2</v>
      </c>
      <c r="O7">
        <v>691.65</v>
      </c>
      <c r="P7" t="s">
        <v>24</v>
      </c>
      <c r="Q7" t="s">
        <v>36</v>
      </c>
      <c r="R7" t="s">
        <v>133</v>
      </c>
      <c r="S7" t="s">
        <v>31</v>
      </c>
    </row>
    <row r="8" spans="1:19">
      <c r="A8">
        <v>100005</v>
      </c>
      <c r="B8" t="s">
        <v>130</v>
      </c>
      <c r="C8" t="s">
        <v>131</v>
      </c>
      <c r="D8" t="s">
        <v>132</v>
      </c>
      <c r="E8" t="s">
        <v>43</v>
      </c>
      <c r="F8" t="s">
        <v>23</v>
      </c>
      <c r="G8" t="s">
        <v>27</v>
      </c>
      <c r="H8" t="s">
        <v>134</v>
      </c>
      <c r="I8">
        <v>4819</v>
      </c>
      <c r="J8">
        <v>30.2</v>
      </c>
      <c r="K8">
        <v>145533.8</v>
      </c>
      <c r="L8">
        <v>289</v>
      </c>
      <c r="M8">
        <v>16866.5</v>
      </c>
      <c r="N8">
        <v>14842.52</v>
      </c>
      <c r="O8">
        <v>300.56</v>
      </c>
      <c r="P8" t="s">
        <v>24</v>
      </c>
      <c r="Q8" t="s">
        <v>36</v>
      </c>
      <c r="R8" t="s">
        <v>133</v>
      </c>
      <c r="S8" t="s">
        <v>30</v>
      </c>
    </row>
    <row r="9" spans="1:19">
      <c r="A9">
        <v>100005</v>
      </c>
      <c r="B9" t="s">
        <v>130</v>
      </c>
      <c r="C9" t="s">
        <v>131</v>
      </c>
      <c r="D9" t="s">
        <v>132</v>
      </c>
      <c r="E9" t="s">
        <v>79</v>
      </c>
      <c r="F9" t="s">
        <v>23</v>
      </c>
      <c r="G9" t="s">
        <v>27</v>
      </c>
      <c r="H9" t="s">
        <v>135</v>
      </c>
      <c r="I9">
        <v>740</v>
      </c>
      <c r="J9">
        <v>46.2</v>
      </c>
      <c r="K9">
        <v>34188</v>
      </c>
      <c r="L9">
        <v>96</v>
      </c>
      <c r="M9">
        <v>2146</v>
      </c>
      <c r="N9">
        <v>1824.1</v>
      </c>
      <c r="O9">
        <v>134.4</v>
      </c>
      <c r="P9" t="s">
        <v>24</v>
      </c>
      <c r="Q9" t="s">
        <v>36</v>
      </c>
      <c r="R9" t="s">
        <v>133</v>
      </c>
      <c r="S9" t="s">
        <v>55</v>
      </c>
    </row>
    <row r="10" spans="1:19">
      <c r="A10">
        <v>100008</v>
      </c>
      <c r="B10" t="s">
        <v>136</v>
      </c>
      <c r="C10" t="s">
        <v>137</v>
      </c>
      <c r="D10" t="s">
        <v>138</v>
      </c>
      <c r="E10" t="s">
        <v>43</v>
      </c>
      <c r="F10" t="s">
        <v>23</v>
      </c>
      <c r="G10" t="s">
        <v>27</v>
      </c>
      <c r="H10" t="s">
        <v>139</v>
      </c>
      <c r="I10">
        <v>1491</v>
      </c>
      <c r="J10">
        <v>75.6</v>
      </c>
      <c r="K10">
        <v>112719.6</v>
      </c>
      <c r="L10">
        <v>224</v>
      </c>
      <c r="M10">
        <v>447.3</v>
      </c>
      <c r="N10">
        <v>371.259</v>
      </c>
      <c r="O10">
        <v>188.16</v>
      </c>
      <c r="P10" t="s">
        <v>24</v>
      </c>
      <c r="Q10" t="s">
        <v>28</v>
      </c>
      <c r="R10" t="s">
        <v>140</v>
      </c>
      <c r="S10" t="s">
        <v>30</v>
      </c>
    </row>
    <row r="11" spans="1:19">
      <c r="A11">
        <v>100009</v>
      </c>
      <c r="B11" t="s">
        <v>141</v>
      </c>
      <c r="C11" t="s">
        <v>142</v>
      </c>
      <c r="D11" t="s">
        <v>143</v>
      </c>
      <c r="E11" t="s">
        <v>37</v>
      </c>
      <c r="F11" t="s">
        <v>23</v>
      </c>
      <c r="G11" t="s">
        <v>105</v>
      </c>
      <c r="H11" t="s">
        <v>128</v>
      </c>
      <c r="I11">
        <v>960</v>
      </c>
      <c r="J11">
        <v>36</v>
      </c>
      <c r="K11">
        <v>34560</v>
      </c>
      <c r="L11">
        <v>96</v>
      </c>
      <c r="M11">
        <v>1152</v>
      </c>
      <c r="N11">
        <v>921.6</v>
      </c>
      <c r="O11">
        <v>87.36</v>
      </c>
      <c r="P11" t="s">
        <v>24</v>
      </c>
      <c r="Q11" t="s">
        <v>28</v>
      </c>
      <c r="R11" t="s">
        <v>144</v>
      </c>
      <c r="S11" t="s">
        <v>30</v>
      </c>
    </row>
    <row r="12" spans="1:19">
      <c r="A12">
        <v>100010</v>
      </c>
      <c r="B12" t="s">
        <v>145</v>
      </c>
      <c r="C12" t="s">
        <v>146</v>
      </c>
      <c r="D12" t="s">
        <v>147</v>
      </c>
      <c r="E12" t="s">
        <v>83</v>
      </c>
      <c r="F12" t="s">
        <v>23</v>
      </c>
      <c r="G12" t="s">
        <v>96</v>
      </c>
      <c r="H12" t="s">
        <v>148</v>
      </c>
      <c r="I12">
        <v>190</v>
      </c>
      <c r="J12">
        <v>9.9</v>
      </c>
      <c r="K12">
        <v>1881</v>
      </c>
      <c r="L12">
        <v>15</v>
      </c>
      <c r="M12">
        <v>760</v>
      </c>
      <c r="N12">
        <v>653.6</v>
      </c>
      <c r="O12">
        <v>25.8</v>
      </c>
      <c r="P12" t="s">
        <v>24</v>
      </c>
      <c r="Q12" t="s">
        <v>28</v>
      </c>
      <c r="R12" t="s">
        <v>149</v>
      </c>
      <c r="S12" t="s">
        <v>85</v>
      </c>
    </row>
    <row r="13" spans="1:19">
      <c r="A13">
        <v>100011</v>
      </c>
      <c r="B13" t="s">
        <v>150</v>
      </c>
      <c r="C13" t="s">
        <v>151</v>
      </c>
      <c r="D13" t="s">
        <v>152</v>
      </c>
      <c r="E13" t="s">
        <v>88</v>
      </c>
      <c r="F13" t="s">
        <v>23</v>
      </c>
      <c r="G13" t="s">
        <v>47</v>
      </c>
      <c r="H13" t="s">
        <v>153</v>
      </c>
      <c r="I13">
        <v>1591</v>
      </c>
      <c r="J13">
        <v>39.8</v>
      </c>
      <c r="K13">
        <v>63321.8</v>
      </c>
      <c r="L13">
        <v>159</v>
      </c>
      <c r="M13">
        <v>1431.9</v>
      </c>
      <c r="N13">
        <v>1159.839</v>
      </c>
      <c r="O13">
        <v>249.63</v>
      </c>
      <c r="P13" t="s">
        <v>24</v>
      </c>
      <c r="Q13" t="s">
        <v>42</v>
      </c>
      <c r="R13" t="s">
        <v>154</v>
      </c>
      <c r="S13" t="s">
        <v>67</v>
      </c>
    </row>
    <row r="14" spans="1:19">
      <c r="A14">
        <v>100012</v>
      </c>
      <c r="B14" t="s">
        <v>155</v>
      </c>
      <c r="C14" t="s">
        <v>156</v>
      </c>
      <c r="D14" t="s">
        <v>157</v>
      </c>
      <c r="E14" t="s">
        <v>88</v>
      </c>
      <c r="F14" t="s">
        <v>23</v>
      </c>
      <c r="G14" t="s">
        <v>58</v>
      </c>
      <c r="H14" t="s">
        <v>123</v>
      </c>
      <c r="I14">
        <v>3527</v>
      </c>
      <c r="J14">
        <v>91.3</v>
      </c>
      <c r="K14">
        <v>322015.1</v>
      </c>
      <c r="L14">
        <v>529</v>
      </c>
      <c r="M14">
        <v>5643.2</v>
      </c>
      <c r="N14">
        <v>4796.72</v>
      </c>
      <c r="O14">
        <v>841.11</v>
      </c>
      <c r="P14" t="s">
        <v>24</v>
      </c>
      <c r="Q14" t="s">
        <v>36</v>
      </c>
      <c r="R14" t="s">
        <v>158</v>
      </c>
      <c r="S14" t="s">
        <v>67</v>
      </c>
    </row>
    <row r="15" spans="1:19">
      <c r="A15">
        <v>100013</v>
      </c>
      <c r="B15" t="s">
        <v>159</v>
      </c>
      <c r="C15" t="s">
        <v>160</v>
      </c>
      <c r="D15" t="s">
        <v>161</v>
      </c>
      <c r="E15" t="s">
        <v>43</v>
      </c>
      <c r="F15" t="s">
        <v>23</v>
      </c>
      <c r="G15" t="s">
        <v>80</v>
      </c>
      <c r="H15" t="s">
        <v>162</v>
      </c>
      <c r="I15">
        <v>2824</v>
      </c>
      <c r="J15">
        <v>95.3</v>
      </c>
      <c r="K15">
        <v>269127.2</v>
      </c>
      <c r="L15">
        <v>339</v>
      </c>
      <c r="M15">
        <v>7907.2</v>
      </c>
      <c r="N15">
        <v>6404.832</v>
      </c>
      <c r="O15">
        <v>359.34</v>
      </c>
      <c r="P15" t="s">
        <v>24</v>
      </c>
      <c r="Q15" t="s">
        <v>28</v>
      </c>
      <c r="R15" t="s">
        <v>163</v>
      </c>
      <c r="S15" t="s">
        <v>30</v>
      </c>
    </row>
    <row r="16" spans="1:19">
      <c r="A16">
        <v>100014</v>
      </c>
      <c r="B16" t="s">
        <v>164</v>
      </c>
      <c r="C16" t="s">
        <v>165</v>
      </c>
      <c r="D16" t="s">
        <v>166</v>
      </c>
      <c r="E16" t="s">
        <v>43</v>
      </c>
      <c r="F16" t="s">
        <v>23</v>
      </c>
      <c r="G16" t="s">
        <v>69</v>
      </c>
      <c r="H16" t="s">
        <v>112</v>
      </c>
      <c r="I16">
        <v>4809</v>
      </c>
      <c r="J16">
        <v>60.6</v>
      </c>
      <c r="K16">
        <v>291425.4</v>
      </c>
      <c r="L16">
        <v>481</v>
      </c>
      <c r="M16">
        <v>16350.6</v>
      </c>
      <c r="N16">
        <v>13570.998</v>
      </c>
      <c r="O16">
        <v>909.09</v>
      </c>
      <c r="P16" t="s">
        <v>24</v>
      </c>
      <c r="Q16" t="s">
        <v>36</v>
      </c>
      <c r="R16" t="s">
        <v>167</v>
      </c>
      <c r="S16" t="s">
        <v>31</v>
      </c>
    </row>
    <row r="17" spans="1:19">
      <c r="A17">
        <v>100015</v>
      </c>
      <c r="B17" t="s">
        <v>168</v>
      </c>
      <c r="C17" t="s">
        <v>169</v>
      </c>
      <c r="D17" t="s">
        <v>170</v>
      </c>
      <c r="E17" t="s">
        <v>51</v>
      </c>
      <c r="F17" t="s">
        <v>23</v>
      </c>
      <c r="G17" t="s">
        <v>69</v>
      </c>
      <c r="H17" t="s">
        <v>148</v>
      </c>
      <c r="I17">
        <v>1688</v>
      </c>
      <c r="J17">
        <v>19.1</v>
      </c>
      <c r="K17">
        <v>32240.8</v>
      </c>
      <c r="L17">
        <v>219</v>
      </c>
      <c r="M17">
        <v>2025.6</v>
      </c>
      <c r="N17">
        <v>1640.736</v>
      </c>
      <c r="O17">
        <v>315.36</v>
      </c>
      <c r="P17" t="s">
        <v>24</v>
      </c>
      <c r="Q17" t="s">
        <v>36</v>
      </c>
      <c r="R17" t="s">
        <v>171</v>
      </c>
      <c r="S17" t="s">
        <v>30</v>
      </c>
    </row>
    <row r="18" spans="1:19">
      <c r="A18">
        <v>100015</v>
      </c>
      <c r="B18" t="s">
        <v>168</v>
      </c>
      <c r="C18" t="s">
        <v>169</v>
      </c>
      <c r="D18" t="s">
        <v>170</v>
      </c>
      <c r="E18" t="s">
        <v>88</v>
      </c>
      <c r="F18" t="s">
        <v>23</v>
      </c>
      <c r="G18" t="s">
        <v>69</v>
      </c>
      <c r="H18" t="s">
        <v>172</v>
      </c>
      <c r="I18">
        <v>4164</v>
      </c>
      <c r="J18">
        <v>99.8</v>
      </c>
      <c r="K18">
        <v>415567.2</v>
      </c>
      <c r="L18">
        <v>208</v>
      </c>
      <c r="M18">
        <v>3331.2</v>
      </c>
      <c r="N18">
        <v>2898.144</v>
      </c>
      <c r="O18">
        <v>260</v>
      </c>
      <c r="P18" t="s">
        <v>24</v>
      </c>
      <c r="Q18" t="s">
        <v>36</v>
      </c>
      <c r="R18" t="s">
        <v>171</v>
      </c>
      <c r="S18" t="s">
        <v>30</v>
      </c>
    </row>
    <row r="19" spans="1:19">
      <c r="A19">
        <v>100017</v>
      </c>
      <c r="B19" t="s">
        <v>173</v>
      </c>
      <c r="C19" t="s">
        <v>174</v>
      </c>
      <c r="D19" t="s">
        <v>175</v>
      </c>
      <c r="E19" t="s">
        <v>54</v>
      </c>
      <c r="F19" t="s">
        <v>23</v>
      </c>
      <c r="G19" t="s">
        <v>35</v>
      </c>
      <c r="H19" t="s">
        <v>134</v>
      </c>
      <c r="I19">
        <v>3624</v>
      </c>
      <c r="J19">
        <v>15</v>
      </c>
      <c r="K19">
        <v>54360</v>
      </c>
      <c r="L19">
        <v>362</v>
      </c>
      <c r="M19">
        <v>12684</v>
      </c>
      <c r="N19">
        <v>10781.4</v>
      </c>
      <c r="O19">
        <v>698.66</v>
      </c>
      <c r="P19" t="s">
        <v>24</v>
      </c>
      <c r="Q19" t="s">
        <v>42</v>
      </c>
      <c r="R19" t="s">
        <v>176</v>
      </c>
      <c r="S19" t="s">
        <v>55</v>
      </c>
    </row>
    <row r="20" spans="1:19">
      <c r="A20">
        <v>100018</v>
      </c>
      <c r="B20" t="s">
        <v>177</v>
      </c>
      <c r="C20" t="s">
        <v>178</v>
      </c>
      <c r="D20" t="s">
        <v>179</v>
      </c>
      <c r="E20" t="s">
        <v>37</v>
      </c>
      <c r="F20" t="s">
        <v>23</v>
      </c>
      <c r="G20" t="s">
        <v>110</v>
      </c>
      <c r="H20" t="s">
        <v>180</v>
      </c>
      <c r="I20">
        <v>1704</v>
      </c>
      <c r="J20">
        <v>67.6</v>
      </c>
      <c r="K20">
        <v>115190.4</v>
      </c>
      <c r="L20">
        <v>256</v>
      </c>
      <c r="M20">
        <v>4260</v>
      </c>
      <c r="N20">
        <v>3535.8</v>
      </c>
      <c r="O20">
        <v>289.28</v>
      </c>
      <c r="P20" t="s">
        <v>24</v>
      </c>
      <c r="Q20" t="s">
        <v>28</v>
      </c>
      <c r="R20" t="s">
        <v>181</v>
      </c>
      <c r="S20" t="s">
        <v>31</v>
      </c>
    </row>
    <row r="21" spans="1:19">
      <c r="A21">
        <v>100019</v>
      </c>
      <c r="B21" t="s">
        <v>182</v>
      </c>
      <c r="C21" t="s">
        <v>183</v>
      </c>
      <c r="D21" t="s">
        <v>184</v>
      </c>
      <c r="E21" t="s">
        <v>62</v>
      </c>
      <c r="F21" t="s">
        <v>23</v>
      </c>
      <c r="G21" t="s">
        <v>34</v>
      </c>
      <c r="H21" t="s">
        <v>180</v>
      </c>
      <c r="I21">
        <v>2724</v>
      </c>
      <c r="J21">
        <v>11.5</v>
      </c>
      <c r="K21">
        <v>31326</v>
      </c>
      <c r="L21">
        <v>354</v>
      </c>
      <c r="M21">
        <v>1362</v>
      </c>
      <c r="N21">
        <v>1144.08</v>
      </c>
      <c r="O21">
        <v>392.94</v>
      </c>
      <c r="P21" t="s">
        <v>24</v>
      </c>
      <c r="Q21" t="s">
        <v>36</v>
      </c>
      <c r="R21" t="s">
        <v>185</v>
      </c>
      <c r="S21" t="s">
        <v>55</v>
      </c>
    </row>
    <row r="22" spans="1:19">
      <c r="A22">
        <v>100020</v>
      </c>
      <c r="B22" t="s">
        <v>186</v>
      </c>
      <c r="C22" t="s">
        <v>187</v>
      </c>
      <c r="D22" t="s">
        <v>188</v>
      </c>
      <c r="E22" t="s">
        <v>76</v>
      </c>
      <c r="F22" t="s">
        <v>23</v>
      </c>
      <c r="G22" t="s">
        <v>110</v>
      </c>
      <c r="H22" t="s">
        <v>189</v>
      </c>
      <c r="I22">
        <v>2102</v>
      </c>
      <c r="J22">
        <v>81.9</v>
      </c>
      <c r="K22">
        <v>172153.8</v>
      </c>
      <c r="L22">
        <v>231</v>
      </c>
      <c r="M22">
        <v>4834.6</v>
      </c>
      <c r="N22">
        <v>3916.026</v>
      </c>
      <c r="O22">
        <v>348.81</v>
      </c>
      <c r="P22" t="s">
        <v>24</v>
      </c>
      <c r="Q22" t="s">
        <v>42</v>
      </c>
      <c r="R22" t="s">
        <v>190</v>
      </c>
      <c r="S22" t="s">
        <v>30</v>
      </c>
    </row>
    <row r="23" spans="1:19">
      <c r="A23">
        <v>100021</v>
      </c>
      <c r="B23" t="s">
        <v>191</v>
      </c>
      <c r="C23" t="s">
        <v>192</v>
      </c>
      <c r="D23" t="s">
        <v>193</v>
      </c>
      <c r="E23" t="s">
        <v>79</v>
      </c>
      <c r="F23" t="s">
        <v>23</v>
      </c>
      <c r="G23" t="s">
        <v>101</v>
      </c>
      <c r="H23" t="s">
        <v>194</v>
      </c>
      <c r="I23">
        <v>4600</v>
      </c>
      <c r="J23">
        <v>37.9</v>
      </c>
      <c r="K23">
        <v>174340</v>
      </c>
      <c r="L23">
        <v>690</v>
      </c>
      <c r="M23">
        <v>1840</v>
      </c>
      <c r="N23">
        <v>1619.2</v>
      </c>
      <c r="O23">
        <v>876.3</v>
      </c>
      <c r="P23" t="s">
        <v>24</v>
      </c>
      <c r="Q23" t="s">
        <v>42</v>
      </c>
      <c r="R23" t="s">
        <v>195</v>
      </c>
      <c r="S23" t="s">
        <v>55</v>
      </c>
    </row>
    <row r="24" spans="1:19">
      <c r="A24">
        <v>100022</v>
      </c>
      <c r="B24" t="s">
        <v>196</v>
      </c>
      <c r="C24" t="s">
        <v>197</v>
      </c>
      <c r="D24" t="s">
        <v>198</v>
      </c>
      <c r="E24" t="s">
        <v>65</v>
      </c>
      <c r="F24" t="s">
        <v>23</v>
      </c>
      <c r="G24" t="s">
        <v>80</v>
      </c>
      <c r="H24" t="s">
        <v>199</v>
      </c>
      <c r="I24">
        <v>495</v>
      </c>
      <c r="J24">
        <v>27.6</v>
      </c>
      <c r="K24">
        <v>13662</v>
      </c>
      <c r="L24">
        <v>40</v>
      </c>
      <c r="M24">
        <v>1188</v>
      </c>
      <c r="N24">
        <v>997.92</v>
      </c>
      <c r="O24">
        <v>38.8</v>
      </c>
      <c r="P24" t="s">
        <v>24</v>
      </c>
      <c r="Q24" t="s">
        <v>36</v>
      </c>
      <c r="R24" t="s">
        <v>200</v>
      </c>
      <c r="S24" t="s">
        <v>66</v>
      </c>
    </row>
    <row r="25" spans="1:19">
      <c r="A25">
        <v>100023</v>
      </c>
      <c r="B25" t="s">
        <v>201</v>
      </c>
      <c r="C25" t="s">
        <v>202</v>
      </c>
      <c r="D25" t="s">
        <v>203</v>
      </c>
      <c r="E25" t="s">
        <v>79</v>
      </c>
      <c r="F25" t="s">
        <v>23</v>
      </c>
      <c r="G25" t="s">
        <v>90</v>
      </c>
      <c r="H25" t="s">
        <v>204</v>
      </c>
      <c r="I25">
        <v>1838</v>
      </c>
      <c r="J25">
        <v>36.8</v>
      </c>
      <c r="K25">
        <v>67638.4</v>
      </c>
      <c r="L25">
        <v>92</v>
      </c>
      <c r="M25">
        <v>1654.2</v>
      </c>
      <c r="N25">
        <v>1356.444</v>
      </c>
      <c r="O25">
        <v>142.6</v>
      </c>
      <c r="P25" t="s">
        <v>24</v>
      </c>
      <c r="Q25" t="s">
        <v>42</v>
      </c>
      <c r="R25" t="s">
        <v>205</v>
      </c>
      <c r="S25" t="s">
        <v>55</v>
      </c>
    </row>
    <row r="26" spans="1:19">
      <c r="A26">
        <v>100024</v>
      </c>
      <c r="B26" t="s">
        <v>206</v>
      </c>
      <c r="C26" t="s">
        <v>207</v>
      </c>
      <c r="D26" t="s">
        <v>208</v>
      </c>
      <c r="E26" t="s">
        <v>65</v>
      </c>
      <c r="F26" t="s">
        <v>23</v>
      </c>
      <c r="G26" t="s">
        <v>80</v>
      </c>
      <c r="H26" t="s">
        <v>135</v>
      </c>
      <c r="I26">
        <v>3506</v>
      </c>
      <c r="J26">
        <v>76.3</v>
      </c>
      <c r="K26">
        <v>267507.8</v>
      </c>
      <c r="L26">
        <v>456</v>
      </c>
      <c r="M26">
        <v>2804.8</v>
      </c>
      <c r="N26">
        <v>2496.272</v>
      </c>
      <c r="O26">
        <v>410.4</v>
      </c>
      <c r="P26" t="s">
        <v>24</v>
      </c>
      <c r="Q26" t="s">
        <v>42</v>
      </c>
      <c r="R26" t="s">
        <v>209</v>
      </c>
      <c r="S26" t="s">
        <v>66</v>
      </c>
    </row>
    <row r="27" spans="1:19">
      <c r="A27">
        <v>100025</v>
      </c>
      <c r="B27" t="s">
        <v>210</v>
      </c>
      <c r="C27" t="s">
        <v>211</v>
      </c>
      <c r="D27" t="s">
        <v>212</v>
      </c>
      <c r="E27" t="s">
        <v>88</v>
      </c>
      <c r="F27" t="s">
        <v>23</v>
      </c>
      <c r="G27" t="s">
        <v>78</v>
      </c>
      <c r="H27" t="s">
        <v>213</v>
      </c>
      <c r="I27">
        <v>2928</v>
      </c>
      <c r="J27">
        <v>9.7</v>
      </c>
      <c r="K27">
        <v>28401.6</v>
      </c>
      <c r="L27">
        <v>293</v>
      </c>
      <c r="M27">
        <v>6734.4</v>
      </c>
      <c r="N27">
        <v>5454.864</v>
      </c>
      <c r="O27">
        <v>360.39</v>
      </c>
      <c r="P27" t="s">
        <v>24</v>
      </c>
      <c r="Q27" t="s">
        <v>36</v>
      </c>
      <c r="R27" t="s">
        <v>214</v>
      </c>
      <c r="S27" t="s">
        <v>30</v>
      </c>
    </row>
    <row r="28" spans="1:19">
      <c r="A28">
        <v>100026</v>
      </c>
      <c r="B28" t="s">
        <v>215</v>
      </c>
      <c r="C28" t="s">
        <v>216</v>
      </c>
      <c r="D28" t="s">
        <v>217</v>
      </c>
      <c r="E28" t="s">
        <v>83</v>
      </c>
      <c r="F28" t="s">
        <v>23</v>
      </c>
      <c r="G28" t="s">
        <v>27</v>
      </c>
      <c r="H28" t="s">
        <v>218</v>
      </c>
      <c r="I28">
        <v>2356</v>
      </c>
      <c r="J28">
        <v>11.7</v>
      </c>
      <c r="K28">
        <v>27565.2</v>
      </c>
      <c r="L28">
        <v>330</v>
      </c>
      <c r="M28">
        <v>1178</v>
      </c>
      <c r="N28">
        <v>954.18</v>
      </c>
      <c r="O28">
        <v>650.1</v>
      </c>
      <c r="P28" t="s">
        <v>24</v>
      </c>
      <c r="Q28" t="s">
        <v>36</v>
      </c>
      <c r="R28" t="s">
        <v>219</v>
      </c>
      <c r="S28" t="s">
        <v>85</v>
      </c>
    </row>
    <row r="29" spans="1:19">
      <c r="A29">
        <v>100027</v>
      </c>
      <c r="B29" t="s">
        <v>220</v>
      </c>
      <c r="C29" t="s">
        <v>221</v>
      </c>
      <c r="D29" t="s">
        <v>222</v>
      </c>
      <c r="E29" t="s">
        <v>83</v>
      </c>
      <c r="F29" t="s">
        <v>23</v>
      </c>
      <c r="G29" t="s">
        <v>64</v>
      </c>
      <c r="H29" t="s">
        <v>112</v>
      </c>
      <c r="I29">
        <v>1050</v>
      </c>
      <c r="J29">
        <v>59.7</v>
      </c>
      <c r="K29">
        <v>62685</v>
      </c>
      <c r="L29">
        <v>53</v>
      </c>
      <c r="M29">
        <v>3255</v>
      </c>
      <c r="N29">
        <v>2896.95</v>
      </c>
      <c r="O29">
        <v>98.58</v>
      </c>
      <c r="P29" t="s">
        <v>24</v>
      </c>
      <c r="Q29" t="s">
        <v>28</v>
      </c>
      <c r="R29" t="s">
        <v>223</v>
      </c>
      <c r="S29" t="s">
        <v>84</v>
      </c>
    </row>
    <row r="30" spans="1:19">
      <c r="A30">
        <v>100028</v>
      </c>
      <c r="B30" t="s">
        <v>224</v>
      </c>
      <c r="C30" t="s">
        <v>225</v>
      </c>
      <c r="D30" t="s">
        <v>226</v>
      </c>
      <c r="E30" t="s">
        <v>83</v>
      </c>
      <c r="F30" t="s">
        <v>23</v>
      </c>
      <c r="G30" t="s">
        <v>41</v>
      </c>
      <c r="H30" t="s">
        <v>227</v>
      </c>
      <c r="I30">
        <v>4336</v>
      </c>
      <c r="J30">
        <v>98.1</v>
      </c>
      <c r="K30">
        <v>425361.6</v>
      </c>
      <c r="L30">
        <v>390</v>
      </c>
      <c r="M30">
        <v>5203.2</v>
      </c>
      <c r="N30">
        <v>4162.56</v>
      </c>
      <c r="O30">
        <v>374.4</v>
      </c>
      <c r="P30" t="s">
        <v>24</v>
      </c>
      <c r="Q30" t="s">
        <v>36</v>
      </c>
      <c r="R30" t="s">
        <v>228</v>
      </c>
      <c r="S30" t="s">
        <v>84</v>
      </c>
    </row>
    <row r="31" spans="1:19">
      <c r="A31">
        <v>100029</v>
      </c>
      <c r="B31" t="s">
        <v>229</v>
      </c>
      <c r="C31" t="s">
        <v>230</v>
      </c>
      <c r="D31" t="s">
        <v>231</v>
      </c>
      <c r="E31" t="s">
        <v>79</v>
      </c>
      <c r="F31" t="s">
        <v>23</v>
      </c>
      <c r="G31" t="s">
        <v>72</v>
      </c>
      <c r="H31" t="s">
        <v>232</v>
      </c>
      <c r="I31">
        <v>4881</v>
      </c>
      <c r="J31">
        <v>94.3</v>
      </c>
      <c r="K31">
        <v>460278.3</v>
      </c>
      <c r="L31">
        <v>244</v>
      </c>
      <c r="M31">
        <v>14154.9</v>
      </c>
      <c r="N31">
        <v>12173.214</v>
      </c>
      <c r="O31">
        <v>473.36</v>
      </c>
      <c r="P31" t="s">
        <v>24</v>
      </c>
      <c r="Q31" t="s">
        <v>28</v>
      </c>
      <c r="R31" t="s">
        <v>233</v>
      </c>
      <c r="S31" t="s">
        <v>30</v>
      </c>
    </row>
    <row r="32" spans="1:19">
      <c r="A32">
        <v>100029</v>
      </c>
      <c r="B32" t="s">
        <v>229</v>
      </c>
      <c r="C32" t="s">
        <v>230</v>
      </c>
      <c r="D32" t="s">
        <v>231</v>
      </c>
      <c r="E32" t="s">
        <v>83</v>
      </c>
      <c r="F32" t="s">
        <v>23</v>
      </c>
      <c r="G32" t="s">
        <v>72</v>
      </c>
      <c r="H32" t="s">
        <v>213</v>
      </c>
      <c r="I32">
        <v>3222</v>
      </c>
      <c r="J32">
        <v>76.7</v>
      </c>
      <c r="K32">
        <v>247127.4</v>
      </c>
      <c r="L32">
        <v>483</v>
      </c>
      <c r="M32">
        <v>6766.2</v>
      </c>
      <c r="N32">
        <v>5751.27</v>
      </c>
      <c r="O32">
        <v>908.04</v>
      </c>
      <c r="P32" t="s">
        <v>24</v>
      </c>
      <c r="Q32" t="s">
        <v>28</v>
      </c>
      <c r="R32" t="s">
        <v>233</v>
      </c>
      <c r="S32" t="s">
        <v>84</v>
      </c>
    </row>
    <row r="33" spans="1:19">
      <c r="A33">
        <v>100029</v>
      </c>
      <c r="B33" t="s">
        <v>229</v>
      </c>
      <c r="C33" t="s">
        <v>230</v>
      </c>
      <c r="D33" t="s">
        <v>231</v>
      </c>
      <c r="E33" t="s">
        <v>94</v>
      </c>
      <c r="F33" t="s">
        <v>23</v>
      </c>
      <c r="G33" t="s">
        <v>72</v>
      </c>
      <c r="H33" t="s">
        <v>234</v>
      </c>
      <c r="I33">
        <v>4414</v>
      </c>
      <c r="J33">
        <v>99.4</v>
      </c>
      <c r="K33">
        <v>438751.6</v>
      </c>
      <c r="L33">
        <v>309</v>
      </c>
      <c r="M33">
        <v>7062.4</v>
      </c>
      <c r="N33">
        <v>5649.92</v>
      </c>
      <c r="O33">
        <v>565.47</v>
      </c>
      <c r="P33" t="s">
        <v>24</v>
      </c>
      <c r="Q33" t="s">
        <v>28</v>
      </c>
      <c r="R33" t="s">
        <v>233</v>
      </c>
      <c r="S33" t="s">
        <v>85</v>
      </c>
    </row>
    <row r="34" spans="1:19">
      <c r="A34">
        <v>100029</v>
      </c>
      <c r="B34" t="s">
        <v>229</v>
      </c>
      <c r="C34" t="s">
        <v>230</v>
      </c>
      <c r="D34" t="s">
        <v>231</v>
      </c>
      <c r="E34" t="s">
        <v>29</v>
      </c>
      <c r="F34" t="s">
        <v>23</v>
      </c>
      <c r="G34" t="s">
        <v>72</v>
      </c>
      <c r="H34" t="s">
        <v>199</v>
      </c>
      <c r="I34">
        <v>3380</v>
      </c>
      <c r="J34">
        <v>66.8</v>
      </c>
      <c r="K34">
        <v>225784</v>
      </c>
      <c r="L34">
        <v>473</v>
      </c>
      <c r="M34">
        <v>9126</v>
      </c>
      <c r="N34">
        <v>8122.14</v>
      </c>
      <c r="O34">
        <v>666.93</v>
      </c>
      <c r="P34" t="s">
        <v>24</v>
      </c>
      <c r="Q34" t="s">
        <v>28</v>
      </c>
      <c r="R34" t="s">
        <v>233</v>
      </c>
      <c r="S34" t="s">
        <v>31</v>
      </c>
    </row>
    <row r="35" spans="1:19">
      <c r="A35">
        <v>100033</v>
      </c>
      <c r="B35" t="s">
        <v>235</v>
      </c>
      <c r="C35" t="s">
        <v>236</v>
      </c>
      <c r="D35" t="s">
        <v>237</v>
      </c>
      <c r="E35" t="s">
        <v>73</v>
      </c>
      <c r="F35" t="s">
        <v>23</v>
      </c>
      <c r="G35" t="s">
        <v>80</v>
      </c>
      <c r="H35" t="s">
        <v>112</v>
      </c>
      <c r="I35">
        <v>2184</v>
      </c>
      <c r="J35">
        <v>93.9</v>
      </c>
      <c r="K35">
        <v>205077.6</v>
      </c>
      <c r="L35">
        <v>284</v>
      </c>
      <c r="M35">
        <v>3057.6</v>
      </c>
      <c r="N35">
        <v>2476.656</v>
      </c>
      <c r="O35">
        <v>360.68</v>
      </c>
      <c r="P35" t="s">
        <v>24</v>
      </c>
      <c r="Q35" t="s">
        <v>36</v>
      </c>
      <c r="R35" t="s">
        <v>238</v>
      </c>
      <c r="S35" t="s">
        <v>31</v>
      </c>
    </row>
    <row r="36" spans="1:19">
      <c r="A36">
        <v>100034</v>
      </c>
      <c r="B36" t="s">
        <v>239</v>
      </c>
      <c r="C36" t="s">
        <v>240</v>
      </c>
      <c r="D36" t="s">
        <v>241</v>
      </c>
      <c r="E36" t="s">
        <v>51</v>
      </c>
      <c r="F36" t="s">
        <v>23</v>
      </c>
      <c r="G36" t="s">
        <v>61</v>
      </c>
      <c r="H36" t="s">
        <v>189</v>
      </c>
      <c r="I36">
        <v>2145</v>
      </c>
      <c r="J36">
        <v>66.4</v>
      </c>
      <c r="K36">
        <v>142428</v>
      </c>
      <c r="L36">
        <v>215</v>
      </c>
      <c r="M36">
        <v>7078.5</v>
      </c>
      <c r="N36">
        <v>5733.585</v>
      </c>
      <c r="O36">
        <v>174.15</v>
      </c>
      <c r="P36" t="s">
        <v>24</v>
      </c>
      <c r="Q36" t="s">
        <v>36</v>
      </c>
      <c r="R36" t="s">
        <v>242</v>
      </c>
      <c r="S36" t="s">
        <v>31</v>
      </c>
    </row>
    <row r="37" spans="1:19">
      <c r="A37">
        <v>100035</v>
      </c>
      <c r="B37" t="s">
        <v>243</v>
      </c>
      <c r="C37" t="s">
        <v>244</v>
      </c>
      <c r="D37" t="s">
        <v>245</v>
      </c>
      <c r="E37" t="s">
        <v>94</v>
      </c>
      <c r="F37" t="s">
        <v>23</v>
      </c>
      <c r="G37" t="s">
        <v>82</v>
      </c>
      <c r="H37" t="s">
        <v>134</v>
      </c>
      <c r="I37">
        <v>118</v>
      </c>
      <c r="J37">
        <v>19.8</v>
      </c>
      <c r="K37">
        <v>2336.4</v>
      </c>
      <c r="L37">
        <v>9</v>
      </c>
      <c r="M37">
        <v>401.2</v>
      </c>
      <c r="N37">
        <v>353.056</v>
      </c>
      <c r="O37">
        <v>11.7</v>
      </c>
      <c r="P37" t="s">
        <v>24</v>
      </c>
      <c r="Q37" t="s">
        <v>28</v>
      </c>
      <c r="R37" t="s">
        <v>246</v>
      </c>
      <c r="S37" t="s">
        <v>85</v>
      </c>
    </row>
    <row r="38" spans="1:19">
      <c r="A38">
        <v>100036</v>
      </c>
      <c r="B38" t="s">
        <v>247</v>
      </c>
      <c r="C38" t="s">
        <v>248</v>
      </c>
      <c r="D38" t="s">
        <v>249</v>
      </c>
      <c r="E38" t="s">
        <v>59</v>
      </c>
      <c r="F38" t="s">
        <v>23</v>
      </c>
      <c r="G38" t="s">
        <v>110</v>
      </c>
      <c r="H38" t="s">
        <v>134</v>
      </c>
      <c r="I38">
        <v>1331</v>
      </c>
      <c r="J38">
        <v>95.6</v>
      </c>
      <c r="K38">
        <v>127243.6</v>
      </c>
      <c r="L38">
        <v>106</v>
      </c>
      <c r="M38">
        <v>1197.9</v>
      </c>
      <c r="N38">
        <v>970.299</v>
      </c>
      <c r="O38">
        <v>208.82</v>
      </c>
      <c r="P38" t="s">
        <v>24</v>
      </c>
      <c r="Q38" t="s">
        <v>36</v>
      </c>
      <c r="R38" t="s">
        <v>250</v>
      </c>
      <c r="S38" t="s">
        <v>56</v>
      </c>
    </row>
    <row r="39" spans="1:19">
      <c r="A39">
        <v>100037</v>
      </c>
      <c r="B39" t="s">
        <v>251</v>
      </c>
      <c r="C39" t="s">
        <v>252</v>
      </c>
      <c r="D39" t="s">
        <v>253</v>
      </c>
      <c r="E39" t="s">
        <v>65</v>
      </c>
      <c r="F39" t="s">
        <v>23</v>
      </c>
      <c r="G39" t="s">
        <v>64</v>
      </c>
      <c r="H39" t="s">
        <v>232</v>
      </c>
      <c r="I39">
        <v>4095</v>
      </c>
      <c r="J39">
        <v>39</v>
      </c>
      <c r="K39">
        <v>159705</v>
      </c>
      <c r="L39">
        <v>246</v>
      </c>
      <c r="M39">
        <v>14742</v>
      </c>
      <c r="N39">
        <v>12383.28</v>
      </c>
      <c r="O39">
        <v>391.14</v>
      </c>
      <c r="P39" t="s">
        <v>24</v>
      </c>
      <c r="Q39" t="s">
        <v>36</v>
      </c>
      <c r="R39" t="s">
        <v>254</v>
      </c>
      <c r="S39" t="s">
        <v>67</v>
      </c>
    </row>
    <row r="40" spans="1:19">
      <c r="A40">
        <v>100038</v>
      </c>
      <c r="B40" t="s">
        <v>255</v>
      </c>
      <c r="C40" t="s">
        <v>256</v>
      </c>
      <c r="D40" t="s">
        <v>257</v>
      </c>
      <c r="E40" t="s">
        <v>54</v>
      </c>
      <c r="F40" t="s">
        <v>23</v>
      </c>
      <c r="G40" t="s">
        <v>78</v>
      </c>
      <c r="H40" t="s">
        <v>112</v>
      </c>
      <c r="I40">
        <v>1123</v>
      </c>
      <c r="J40">
        <v>23.3</v>
      </c>
      <c r="K40">
        <v>26165.9</v>
      </c>
      <c r="L40">
        <v>124</v>
      </c>
      <c r="M40">
        <v>1123</v>
      </c>
      <c r="N40">
        <v>1010.7</v>
      </c>
      <c r="O40">
        <v>126.48</v>
      </c>
      <c r="P40" t="s">
        <v>24</v>
      </c>
      <c r="Q40" t="s">
        <v>28</v>
      </c>
      <c r="R40" t="s">
        <v>258</v>
      </c>
      <c r="S40" t="s">
        <v>56</v>
      </c>
    </row>
    <row r="41" spans="1:19">
      <c r="A41">
        <v>100039</v>
      </c>
      <c r="B41" t="s">
        <v>259</v>
      </c>
      <c r="C41" t="s">
        <v>260</v>
      </c>
      <c r="D41" t="s">
        <v>261</v>
      </c>
      <c r="E41" t="s">
        <v>62</v>
      </c>
      <c r="F41" t="s">
        <v>23</v>
      </c>
      <c r="G41" t="s">
        <v>69</v>
      </c>
      <c r="H41" t="s">
        <v>213</v>
      </c>
      <c r="I41">
        <v>2932</v>
      </c>
      <c r="J41">
        <v>24.5</v>
      </c>
      <c r="K41">
        <v>71834</v>
      </c>
      <c r="L41">
        <v>147</v>
      </c>
      <c r="M41">
        <v>11728</v>
      </c>
      <c r="N41">
        <v>9499.68</v>
      </c>
      <c r="O41">
        <v>196.98</v>
      </c>
      <c r="P41" t="s">
        <v>24</v>
      </c>
      <c r="Q41" t="s">
        <v>42</v>
      </c>
      <c r="R41" t="s">
        <v>262</v>
      </c>
      <c r="S41" t="s">
        <v>56</v>
      </c>
    </row>
    <row r="42" spans="1:19">
      <c r="A42">
        <v>100039</v>
      </c>
      <c r="B42" t="s">
        <v>259</v>
      </c>
      <c r="C42" t="s">
        <v>260</v>
      </c>
      <c r="D42" t="s">
        <v>261</v>
      </c>
      <c r="E42" t="s">
        <v>94</v>
      </c>
      <c r="F42" t="s">
        <v>23</v>
      </c>
      <c r="G42" t="s">
        <v>69</v>
      </c>
      <c r="H42" t="s">
        <v>180</v>
      </c>
      <c r="I42">
        <v>1113</v>
      </c>
      <c r="J42">
        <v>89.9</v>
      </c>
      <c r="K42">
        <v>100058.7</v>
      </c>
      <c r="L42">
        <v>134</v>
      </c>
      <c r="M42">
        <v>667.8</v>
      </c>
      <c r="N42">
        <v>560.952</v>
      </c>
      <c r="O42">
        <v>198.32</v>
      </c>
      <c r="P42" t="s">
        <v>24</v>
      </c>
      <c r="Q42" t="s">
        <v>42</v>
      </c>
      <c r="R42" t="s">
        <v>262</v>
      </c>
      <c r="S42" t="s">
        <v>85</v>
      </c>
    </row>
    <row r="43" spans="1:19">
      <c r="A43">
        <v>100041</v>
      </c>
      <c r="B43" t="s">
        <v>263</v>
      </c>
      <c r="C43" t="s">
        <v>264</v>
      </c>
      <c r="D43" t="s">
        <v>265</v>
      </c>
      <c r="E43" t="s">
        <v>65</v>
      </c>
      <c r="F43" t="s">
        <v>23</v>
      </c>
      <c r="G43" t="s">
        <v>27</v>
      </c>
      <c r="H43" t="s">
        <v>148</v>
      </c>
      <c r="I43">
        <v>4521</v>
      </c>
      <c r="J43">
        <v>60.1</v>
      </c>
      <c r="K43">
        <v>271712.1</v>
      </c>
      <c r="L43">
        <v>678</v>
      </c>
      <c r="M43">
        <v>4973.1</v>
      </c>
      <c r="N43">
        <v>4127.673</v>
      </c>
      <c r="O43">
        <v>766.14</v>
      </c>
      <c r="P43" t="s">
        <v>24</v>
      </c>
      <c r="Q43" t="s">
        <v>42</v>
      </c>
      <c r="R43" t="s">
        <v>266</v>
      </c>
      <c r="S43" t="s">
        <v>66</v>
      </c>
    </row>
    <row r="44" spans="1:19">
      <c r="A44">
        <v>100042</v>
      </c>
      <c r="B44" t="s">
        <v>267</v>
      </c>
      <c r="C44" t="s">
        <v>268</v>
      </c>
      <c r="D44" t="s">
        <v>269</v>
      </c>
      <c r="E44" t="s">
        <v>81</v>
      </c>
      <c r="F44" t="s">
        <v>23</v>
      </c>
      <c r="G44" t="s">
        <v>90</v>
      </c>
      <c r="H44" t="s">
        <v>139</v>
      </c>
      <c r="I44">
        <v>111</v>
      </c>
      <c r="J44">
        <v>82.8</v>
      </c>
      <c r="K44">
        <v>9190.8</v>
      </c>
      <c r="L44">
        <v>17</v>
      </c>
      <c r="M44">
        <v>166.5</v>
      </c>
      <c r="N44">
        <v>134.865</v>
      </c>
      <c r="O44">
        <v>19.21</v>
      </c>
      <c r="P44" t="s">
        <v>24</v>
      </c>
      <c r="Q44" t="s">
        <v>42</v>
      </c>
      <c r="R44" t="s">
        <v>270</v>
      </c>
      <c r="S44" t="s">
        <v>30</v>
      </c>
    </row>
    <row r="45" spans="1:19">
      <c r="A45">
        <v>100043</v>
      </c>
      <c r="B45" t="s">
        <v>271</v>
      </c>
      <c r="C45" t="s">
        <v>272</v>
      </c>
      <c r="D45" t="s">
        <v>273</v>
      </c>
      <c r="E45" t="s">
        <v>73</v>
      </c>
      <c r="F45" t="s">
        <v>23</v>
      </c>
      <c r="G45" t="s">
        <v>64</v>
      </c>
      <c r="H45" t="s">
        <v>274</v>
      </c>
      <c r="I45">
        <v>4959</v>
      </c>
      <c r="J45">
        <v>15.6</v>
      </c>
      <c r="K45">
        <v>77360.4</v>
      </c>
      <c r="L45">
        <v>298</v>
      </c>
      <c r="M45">
        <v>5950.8</v>
      </c>
      <c r="N45">
        <v>4879.656</v>
      </c>
      <c r="O45">
        <v>283.1</v>
      </c>
      <c r="P45" t="s">
        <v>24</v>
      </c>
      <c r="Q45" t="s">
        <v>42</v>
      </c>
      <c r="R45" t="s">
        <v>275</v>
      </c>
      <c r="S45" t="s">
        <v>55</v>
      </c>
    </row>
    <row r="46" spans="1:19">
      <c r="A46">
        <v>100044</v>
      </c>
      <c r="B46" t="s">
        <v>276</v>
      </c>
      <c r="C46" t="s">
        <v>277</v>
      </c>
      <c r="D46" t="s">
        <v>278</v>
      </c>
      <c r="E46" t="s">
        <v>83</v>
      </c>
      <c r="F46" t="s">
        <v>23</v>
      </c>
      <c r="G46" t="s">
        <v>46</v>
      </c>
      <c r="H46" t="s">
        <v>135</v>
      </c>
      <c r="I46">
        <v>4806</v>
      </c>
      <c r="J46">
        <v>95.2</v>
      </c>
      <c r="K46">
        <v>457531.2</v>
      </c>
      <c r="L46">
        <v>384</v>
      </c>
      <c r="M46">
        <v>16340.4</v>
      </c>
      <c r="N46">
        <v>13235.724</v>
      </c>
      <c r="O46">
        <v>541.44</v>
      </c>
      <c r="P46" t="s">
        <v>24</v>
      </c>
      <c r="Q46" t="s">
        <v>36</v>
      </c>
      <c r="R46" t="s">
        <v>279</v>
      </c>
      <c r="S46" t="s">
        <v>84</v>
      </c>
    </row>
    <row r="47" spans="1:19">
      <c r="A47">
        <v>100045</v>
      </c>
      <c r="B47" t="s">
        <v>280</v>
      </c>
      <c r="C47" t="s">
        <v>281</v>
      </c>
      <c r="D47" t="s">
        <v>282</v>
      </c>
      <c r="E47" t="s">
        <v>70</v>
      </c>
      <c r="F47" t="s">
        <v>23</v>
      </c>
      <c r="G47" t="s">
        <v>103</v>
      </c>
      <c r="H47" t="s">
        <v>227</v>
      </c>
      <c r="I47">
        <v>701</v>
      </c>
      <c r="J47">
        <v>33.4</v>
      </c>
      <c r="K47">
        <v>23413.4</v>
      </c>
      <c r="L47">
        <v>49</v>
      </c>
      <c r="M47">
        <v>280.4</v>
      </c>
      <c r="N47">
        <v>224.32</v>
      </c>
      <c r="O47">
        <v>82.32</v>
      </c>
      <c r="P47" t="s">
        <v>24</v>
      </c>
      <c r="Q47" t="s">
        <v>28</v>
      </c>
      <c r="R47" t="s">
        <v>283</v>
      </c>
      <c r="S47" t="s">
        <v>56</v>
      </c>
    </row>
    <row r="48" spans="1:19">
      <c r="A48">
        <v>100045</v>
      </c>
      <c r="B48" t="s">
        <v>280</v>
      </c>
      <c r="C48" t="s">
        <v>281</v>
      </c>
      <c r="D48" t="s">
        <v>282</v>
      </c>
      <c r="E48" t="s">
        <v>79</v>
      </c>
      <c r="F48" t="s">
        <v>23</v>
      </c>
      <c r="G48" t="s">
        <v>103</v>
      </c>
      <c r="H48" t="s">
        <v>112</v>
      </c>
      <c r="I48">
        <v>3504</v>
      </c>
      <c r="J48">
        <v>95.4</v>
      </c>
      <c r="K48">
        <v>334281.6</v>
      </c>
      <c r="L48">
        <v>456</v>
      </c>
      <c r="M48">
        <v>12964.8</v>
      </c>
      <c r="N48">
        <v>10371.84</v>
      </c>
      <c r="O48">
        <v>684</v>
      </c>
      <c r="P48" t="s">
        <v>24</v>
      </c>
      <c r="Q48" t="s">
        <v>28</v>
      </c>
      <c r="R48" t="s">
        <v>283</v>
      </c>
      <c r="S48" t="s">
        <v>30</v>
      </c>
    </row>
    <row r="49" spans="1:19">
      <c r="A49">
        <v>100047</v>
      </c>
      <c r="B49" t="s">
        <v>284</v>
      </c>
      <c r="C49" t="s">
        <v>285</v>
      </c>
      <c r="D49" t="s">
        <v>286</v>
      </c>
      <c r="E49" t="s">
        <v>65</v>
      </c>
      <c r="F49" t="s">
        <v>23</v>
      </c>
      <c r="G49" t="s">
        <v>58</v>
      </c>
      <c r="H49" t="s">
        <v>234</v>
      </c>
      <c r="I49">
        <v>4375</v>
      </c>
      <c r="J49">
        <v>18.7</v>
      </c>
      <c r="K49">
        <v>81812.5</v>
      </c>
      <c r="L49">
        <v>613</v>
      </c>
      <c r="M49">
        <v>4812.5</v>
      </c>
      <c r="N49">
        <v>3898.125</v>
      </c>
      <c r="O49">
        <v>631.39</v>
      </c>
      <c r="P49" t="s">
        <v>24</v>
      </c>
      <c r="Q49" t="s">
        <v>36</v>
      </c>
      <c r="R49" t="s">
        <v>287</v>
      </c>
      <c r="S49" t="s">
        <v>66</v>
      </c>
    </row>
    <row r="50" spans="1:19">
      <c r="A50">
        <v>100048</v>
      </c>
      <c r="B50" t="s">
        <v>288</v>
      </c>
      <c r="C50" t="s">
        <v>289</v>
      </c>
      <c r="D50" t="s">
        <v>290</v>
      </c>
      <c r="E50" t="s">
        <v>94</v>
      </c>
      <c r="F50" t="s">
        <v>23</v>
      </c>
      <c r="G50" t="s">
        <v>98</v>
      </c>
      <c r="H50" t="s">
        <v>199</v>
      </c>
      <c r="I50">
        <v>2291</v>
      </c>
      <c r="J50">
        <v>22.9</v>
      </c>
      <c r="K50">
        <v>52463.9</v>
      </c>
      <c r="L50">
        <v>206</v>
      </c>
      <c r="M50">
        <v>5956.6</v>
      </c>
      <c r="N50">
        <v>5122.676</v>
      </c>
      <c r="O50">
        <v>344.02</v>
      </c>
      <c r="P50" t="s">
        <v>24</v>
      </c>
      <c r="Q50" t="s">
        <v>36</v>
      </c>
      <c r="R50" t="s">
        <v>291</v>
      </c>
      <c r="S50" t="s">
        <v>85</v>
      </c>
    </row>
    <row r="51" spans="1:19">
      <c r="A51">
        <v>100049</v>
      </c>
      <c r="B51" t="s">
        <v>292</v>
      </c>
      <c r="C51" t="s">
        <v>293</v>
      </c>
      <c r="D51" t="s">
        <v>294</v>
      </c>
      <c r="E51" t="s">
        <v>37</v>
      </c>
      <c r="F51" t="s">
        <v>23</v>
      </c>
      <c r="G51" t="s">
        <v>98</v>
      </c>
      <c r="H51" t="s">
        <v>123</v>
      </c>
      <c r="I51">
        <v>4354</v>
      </c>
      <c r="J51">
        <v>88.4</v>
      </c>
      <c r="K51">
        <v>384893.6</v>
      </c>
      <c r="L51">
        <v>392</v>
      </c>
      <c r="M51">
        <v>1306.2</v>
      </c>
      <c r="N51">
        <v>1058.022</v>
      </c>
      <c r="O51">
        <v>470.4</v>
      </c>
      <c r="P51" t="s">
        <v>24</v>
      </c>
      <c r="Q51" t="s">
        <v>36</v>
      </c>
      <c r="R51" t="s">
        <v>295</v>
      </c>
      <c r="S51" t="s">
        <v>31</v>
      </c>
    </row>
    <row r="52" spans="1:19">
      <c r="A52">
        <v>100050</v>
      </c>
      <c r="B52" t="s">
        <v>296</v>
      </c>
      <c r="C52" t="s">
        <v>297</v>
      </c>
      <c r="D52" t="s">
        <v>298</v>
      </c>
      <c r="E52" t="s">
        <v>83</v>
      </c>
      <c r="F52" t="s">
        <v>23</v>
      </c>
      <c r="G52" t="s">
        <v>75</v>
      </c>
      <c r="H52" t="s">
        <v>162</v>
      </c>
      <c r="I52">
        <v>2209</v>
      </c>
      <c r="J52">
        <v>35.1</v>
      </c>
      <c r="K52">
        <v>77535.9</v>
      </c>
      <c r="L52">
        <v>155</v>
      </c>
      <c r="M52">
        <v>8836</v>
      </c>
      <c r="N52">
        <v>7952.4</v>
      </c>
      <c r="O52">
        <v>130.2</v>
      </c>
      <c r="P52" t="s">
        <v>24</v>
      </c>
      <c r="Q52" t="s">
        <v>36</v>
      </c>
      <c r="R52" t="s">
        <v>299</v>
      </c>
      <c r="S52" t="s">
        <v>84</v>
      </c>
    </row>
    <row r="53" spans="1:19">
      <c r="A53">
        <v>100050</v>
      </c>
      <c r="B53" t="s">
        <v>296</v>
      </c>
      <c r="C53" t="s">
        <v>297</v>
      </c>
      <c r="D53" t="s">
        <v>298</v>
      </c>
      <c r="E53" t="s">
        <v>59</v>
      </c>
      <c r="F53" t="s">
        <v>23</v>
      </c>
      <c r="G53" t="s">
        <v>75</v>
      </c>
      <c r="H53" t="s">
        <v>180</v>
      </c>
      <c r="I53">
        <v>1657</v>
      </c>
      <c r="J53">
        <v>43.7</v>
      </c>
      <c r="K53">
        <v>72410.9</v>
      </c>
      <c r="L53">
        <v>232</v>
      </c>
      <c r="M53">
        <v>1822.7</v>
      </c>
      <c r="N53">
        <v>1531.068</v>
      </c>
      <c r="O53">
        <v>306.24</v>
      </c>
      <c r="P53" t="s">
        <v>24</v>
      </c>
      <c r="Q53" t="s">
        <v>36</v>
      </c>
      <c r="R53" t="s">
        <v>299</v>
      </c>
      <c r="S53" t="s">
        <v>55</v>
      </c>
    </row>
    <row r="54" spans="1:19">
      <c r="A54">
        <v>100052</v>
      </c>
      <c r="B54" t="s">
        <v>300</v>
      </c>
      <c r="C54" t="s">
        <v>301</v>
      </c>
      <c r="D54" t="s">
        <v>302</v>
      </c>
      <c r="E54" t="s">
        <v>79</v>
      </c>
      <c r="F54" t="s">
        <v>23</v>
      </c>
      <c r="G54" t="s">
        <v>34</v>
      </c>
      <c r="H54" t="s">
        <v>199</v>
      </c>
      <c r="I54">
        <v>1581</v>
      </c>
      <c r="J54">
        <v>54.1</v>
      </c>
      <c r="K54">
        <v>85532.1</v>
      </c>
      <c r="L54">
        <v>95</v>
      </c>
      <c r="M54">
        <v>5059.2</v>
      </c>
      <c r="N54">
        <v>4249.728</v>
      </c>
      <c r="O54">
        <v>90.25</v>
      </c>
      <c r="P54" t="s">
        <v>24</v>
      </c>
      <c r="Q54" t="s">
        <v>28</v>
      </c>
      <c r="R54" t="s">
        <v>303</v>
      </c>
      <c r="S54" t="s">
        <v>30</v>
      </c>
    </row>
    <row r="55" spans="1:19">
      <c r="A55">
        <v>100053</v>
      </c>
      <c r="B55" t="s">
        <v>304</v>
      </c>
      <c r="C55" t="s">
        <v>305</v>
      </c>
      <c r="D55" t="s">
        <v>306</v>
      </c>
      <c r="E55" t="s">
        <v>76</v>
      </c>
      <c r="F55" t="s">
        <v>23</v>
      </c>
      <c r="G55" t="s">
        <v>105</v>
      </c>
      <c r="H55" t="s">
        <v>162</v>
      </c>
      <c r="I55">
        <v>2946</v>
      </c>
      <c r="J55">
        <v>23.6</v>
      </c>
      <c r="K55">
        <v>69525.6</v>
      </c>
      <c r="L55">
        <v>177</v>
      </c>
      <c r="M55">
        <v>10311</v>
      </c>
      <c r="N55">
        <v>9073.68</v>
      </c>
      <c r="O55">
        <v>292.05</v>
      </c>
      <c r="P55" t="s">
        <v>24</v>
      </c>
      <c r="Q55" t="s">
        <v>36</v>
      </c>
      <c r="R55" t="s">
        <v>307</v>
      </c>
      <c r="S55" t="s">
        <v>30</v>
      </c>
    </row>
    <row r="56" spans="1:19">
      <c r="A56">
        <v>100054</v>
      </c>
      <c r="B56" t="s">
        <v>308</v>
      </c>
      <c r="C56" t="s">
        <v>309</v>
      </c>
      <c r="D56" t="s">
        <v>310</v>
      </c>
      <c r="E56" t="s">
        <v>70</v>
      </c>
      <c r="F56" t="s">
        <v>23</v>
      </c>
      <c r="G56" t="s">
        <v>96</v>
      </c>
      <c r="H56" t="s">
        <v>128</v>
      </c>
      <c r="I56">
        <v>4858</v>
      </c>
      <c r="J56">
        <v>10.6</v>
      </c>
      <c r="K56">
        <v>51494.8</v>
      </c>
      <c r="L56">
        <v>534</v>
      </c>
      <c r="M56">
        <v>10687.6</v>
      </c>
      <c r="N56">
        <v>8977.584</v>
      </c>
      <c r="O56">
        <v>875.76</v>
      </c>
      <c r="P56" t="s">
        <v>24</v>
      </c>
      <c r="Q56" t="s">
        <v>42</v>
      </c>
      <c r="R56" t="s">
        <v>311</v>
      </c>
      <c r="S56" t="s">
        <v>56</v>
      </c>
    </row>
    <row r="57" spans="1:19">
      <c r="A57">
        <v>100055</v>
      </c>
      <c r="B57" t="s">
        <v>312</v>
      </c>
      <c r="C57" t="s">
        <v>313</v>
      </c>
      <c r="D57" t="s">
        <v>314</v>
      </c>
      <c r="E57" t="s">
        <v>70</v>
      </c>
      <c r="F57" t="s">
        <v>23</v>
      </c>
      <c r="G57" t="s">
        <v>35</v>
      </c>
      <c r="H57" t="s">
        <v>315</v>
      </c>
      <c r="I57">
        <v>1894</v>
      </c>
      <c r="J57">
        <v>28.4</v>
      </c>
      <c r="K57">
        <v>53789.6</v>
      </c>
      <c r="L57">
        <v>95</v>
      </c>
      <c r="M57">
        <v>2083.4</v>
      </c>
      <c r="N57">
        <v>1750.056</v>
      </c>
      <c r="O57">
        <v>152</v>
      </c>
      <c r="P57" t="s">
        <v>24</v>
      </c>
      <c r="Q57" t="s">
        <v>28</v>
      </c>
      <c r="R57" t="s">
        <v>316</v>
      </c>
      <c r="S57" t="s">
        <v>55</v>
      </c>
    </row>
    <row r="58" spans="1:19">
      <c r="A58">
        <v>100056</v>
      </c>
      <c r="B58" t="s">
        <v>317</v>
      </c>
      <c r="C58" t="s">
        <v>318</v>
      </c>
      <c r="D58" t="s">
        <v>319</v>
      </c>
      <c r="E58" t="s">
        <v>29</v>
      </c>
      <c r="F58" t="s">
        <v>23</v>
      </c>
      <c r="G58" t="s">
        <v>72</v>
      </c>
      <c r="H58" t="s">
        <v>148</v>
      </c>
      <c r="I58">
        <v>4862</v>
      </c>
      <c r="J58">
        <v>95.9</v>
      </c>
      <c r="K58">
        <v>466265.8</v>
      </c>
      <c r="L58">
        <v>438</v>
      </c>
      <c r="M58">
        <v>2917.2</v>
      </c>
      <c r="N58">
        <v>2450.448</v>
      </c>
      <c r="O58">
        <v>499.32</v>
      </c>
      <c r="P58" t="s">
        <v>24</v>
      </c>
      <c r="Q58" t="s">
        <v>42</v>
      </c>
      <c r="R58" t="s">
        <v>320</v>
      </c>
      <c r="S58" t="s">
        <v>31</v>
      </c>
    </row>
    <row r="59" spans="1:19">
      <c r="A59">
        <v>100057</v>
      </c>
      <c r="B59" t="s">
        <v>321</v>
      </c>
      <c r="C59" t="s">
        <v>322</v>
      </c>
      <c r="D59" t="s">
        <v>323</v>
      </c>
      <c r="E59" t="s">
        <v>51</v>
      </c>
      <c r="F59" t="s">
        <v>23</v>
      </c>
      <c r="G59" t="s">
        <v>87</v>
      </c>
      <c r="H59" t="s">
        <v>123</v>
      </c>
      <c r="I59">
        <v>4861</v>
      </c>
      <c r="J59">
        <v>66.3</v>
      </c>
      <c r="K59">
        <v>322284.3</v>
      </c>
      <c r="L59">
        <v>243</v>
      </c>
      <c r="M59">
        <v>1458.3</v>
      </c>
      <c r="N59">
        <v>1268.721</v>
      </c>
      <c r="O59">
        <v>311.04</v>
      </c>
      <c r="P59" t="s">
        <v>24</v>
      </c>
      <c r="Q59" t="s">
        <v>36</v>
      </c>
      <c r="R59" t="s">
        <v>324</v>
      </c>
      <c r="S59" t="s">
        <v>31</v>
      </c>
    </row>
    <row r="60" spans="1:19">
      <c r="A60">
        <v>100057</v>
      </c>
      <c r="B60" t="s">
        <v>321</v>
      </c>
      <c r="C60" t="s">
        <v>322</v>
      </c>
      <c r="D60" t="s">
        <v>323</v>
      </c>
      <c r="E60" t="s">
        <v>54</v>
      </c>
      <c r="F60" t="s">
        <v>23</v>
      </c>
      <c r="G60" t="s">
        <v>87</v>
      </c>
      <c r="H60" t="s">
        <v>325</v>
      </c>
      <c r="I60">
        <v>1527</v>
      </c>
      <c r="J60">
        <v>69.9</v>
      </c>
      <c r="K60">
        <v>106737.3</v>
      </c>
      <c r="L60">
        <v>168</v>
      </c>
      <c r="M60">
        <v>1068.9</v>
      </c>
      <c r="N60">
        <v>887.187</v>
      </c>
      <c r="O60">
        <v>198.24</v>
      </c>
      <c r="P60" t="s">
        <v>24</v>
      </c>
      <c r="Q60" t="s">
        <v>36</v>
      </c>
      <c r="R60" t="s">
        <v>324</v>
      </c>
      <c r="S60" t="s">
        <v>55</v>
      </c>
    </row>
    <row r="61" spans="1:19">
      <c r="A61">
        <v>100059</v>
      </c>
      <c r="B61" t="s">
        <v>326</v>
      </c>
      <c r="C61" t="s">
        <v>327</v>
      </c>
      <c r="D61" t="s">
        <v>328</v>
      </c>
      <c r="E61" t="s">
        <v>88</v>
      </c>
      <c r="F61" t="s">
        <v>23</v>
      </c>
      <c r="G61" t="s">
        <v>64</v>
      </c>
      <c r="H61" t="s">
        <v>199</v>
      </c>
      <c r="I61">
        <v>3362</v>
      </c>
      <c r="J61">
        <v>9</v>
      </c>
      <c r="K61">
        <v>30258</v>
      </c>
      <c r="L61">
        <v>336</v>
      </c>
      <c r="M61">
        <v>6724</v>
      </c>
      <c r="N61">
        <v>5984.36</v>
      </c>
      <c r="O61">
        <v>443.52</v>
      </c>
      <c r="P61" t="s">
        <v>24</v>
      </c>
      <c r="Q61" t="s">
        <v>42</v>
      </c>
      <c r="R61" t="s">
        <v>329</v>
      </c>
      <c r="S61" t="s">
        <v>67</v>
      </c>
    </row>
    <row r="62" spans="1:19">
      <c r="A62">
        <v>100060</v>
      </c>
      <c r="B62" t="s">
        <v>330</v>
      </c>
      <c r="C62" t="s">
        <v>331</v>
      </c>
      <c r="D62" t="s">
        <v>332</v>
      </c>
      <c r="E62" t="s">
        <v>76</v>
      </c>
      <c r="F62" t="s">
        <v>23</v>
      </c>
      <c r="G62" t="s">
        <v>93</v>
      </c>
      <c r="H62" t="s">
        <v>134</v>
      </c>
      <c r="I62">
        <v>399</v>
      </c>
      <c r="J62">
        <v>34.1</v>
      </c>
      <c r="K62">
        <v>13605.9</v>
      </c>
      <c r="L62">
        <v>56</v>
      </c>
      <c r="M62">
        <v>39.9</v>
      </c>
      <c r="N62">
        <v>34.314</v>
      </c>
      <c r="O62">
        <v>46.48</v>
      </c>
      <c r="P62" t="s">
        <v>24</v>
      </c>
      <c r="Q62" t="s">
        <v>28</v>
      </c>
      <c r="R62" t="s">
        <v>333</v>
      </c>
      <c r="S62" t="s">
        <v>30</v>
      </c>
    </row>
    <row r="63" spans="1:19">
      <c r="A63">
        <v>100061</v>
      </c>
      <c r="B63" t="s">
        <v>334</v>
      </c>
      <c r="C63" t="s">
        <v>335</v>
      </c>
      <c r="D63" t="s">
        <v>336</v>
      </c>
      <c r="E63" t="s">
        <v>29</v>
      </c>
      <c r="F63" t="s">
        <v>23</v>
      </c>
      <c r="G63" t="s">
        <v>41</v>
      </c>
      <c r="H63" t="s">
        <v>204</v>
      </c>
      <c r="I63">
        <v>2503</v>
      </c>
      <c r="J63">
        <v>68.7</v>
      </c>
      <c r="K63">
        <v>171956.1</v>
      </c>
      <c r="L63">
        <v>325</v>
      </c>
      <c r="M63">
        <v>8009.6</v>
      </c>
      <c r="N63">
        <v>6808.16</v>
      </c>
      <c r="O63">
        <v>312</v>
      </c>
      <c r="P63" t="s">
        <v>24</v>
      </c>
      <c r="Q63" t="s">
        <v>28</v>
      </c>
      <c r="R63" t="s">
        <v>337</v>
      </c>
      <c r="S63" t="s">
        <v>30</v>
      </c>
    </row>
    <row r="64" spans="1:19">
      <c r="A64">
        <v>100062</v>
      </c>
      <c r="B64" t="s">
        <v>338</v>
      </c>
      <c r="C64" t="s">
        <v>339</v>
      </c>
      <c r="D64" t="s">
        <v>340</v>
      </c>
      <c r="E64" t="s">
        <v>73</v>
      </c>
      <c r="F64" t="s">
        <v>23</v>
      </c>
      <c r="G64" t="s">
        <v>46</v>
      </c>
      <c r="H64" t="s">
        <v>218</v>
      </c>
      <c r="I64">
        <v>4001</v>
      </c>
      <c r="J64">
        <v>60.7</v>
      </c>
      <c r="K64">
        <v>242860.7</v>
      </c>
      <c r="L64">
        <v>480</v>
      </c>
      <c r="M64">
        <v>4001</v>
      </c>
      <c r="N64">
        <v>3480.87</v>
      </c>
      <c r="O64">
        <v>580.8</v>
      </c>
      <c r="P64" t="s">
        <v>24</v>
      </c>
      <c r="Q64" t="s">
        <v>42</v>
      </c>
      <c r="R64" t="s">
        <v>341</v>
      </c>
      <c r="S64" t="s">
        <v>31</v>
      </c>
    </row>
    <row r="65" spans="1:19">
      <c r="A65">
        <v>100063</v>
      </c>
      <c r="B65" t="s">
        <v>342</v>
      </c>
      <c r="C65" t="s">
        <v>343</v>
      </c>
      <c r="D65" t="s">
        <v>344</v>
      </c>
      <c r="E65" t="s">
        <v>48</v>
      </c>
      <c r="F65" t="s">
        <v>23</v>
      </c>
      <c r="G65" t="s">
        <v>98</v>
      </c>
      <c r="H65" t="s">
        <v>162</v>
      </c>
      <c r="I65">
        <v>175</v>
      </c>
      <c r="J65">
        <v>44.3</v>
      </c>
      <c r="K65">
        <v>7752.5</v>
      </c>
      <c r="L65">
        <v>25</v>
      </c>
      <c r="M65">
        <v>682.5</v>
      </c>
      <c r="N65">
        <v>614.25</v>
      </c>
      <c r="O65">
        <v>43.25</v>
      </c>
      <c r="P65" t="s">
        <v>24</v>
      </c>
      <c r="Q65" t="s">
        <v>36</v>
      </c>
      <c r="R65" t="s">
        <v>345</v>
      </c>
      <c r="S65" t="s">
        <v>31</v>
      </c>
    </row>
    <row r="66" spans="1:19">
      <c r="A66">
        <v>100063</v>
      </c>
      <c r="B66" t="s">
        <v>342</v>
      </c>
      <c r="C66" t="s">
        <v>343</v>
      </c>
      <c r="D66" t="s">
        <v>344</v>
      </c>
      <c r="E66" t="s">
        <v>73</v>
      </c>
      <c r="F66" t="s">
        <v>23</v>
      </c>
      <c r="G66" t="s">
        <v>98</v>
      </c>
      <c r="H66" t="s">
        <v>199</v>
      </c>
      <c r="I66">
        <v>203</v>
      </c>
      <c r="J66">
        <v>73.9</v>
      </c>
      <c r="K66">
        <v>15001.7</v>
      </c>
      <c r="L66">
        <v>20</v>
      </c>
      <c r="M66">
        <v>446.6</v>
      </c>
      <c r="N66">
        <v>379.61</v>
      </c>
      <c r="O66">
        <v>18</v>
      </c>
      <c r="P66" t="s">
        <v>24</v>
      </c>
      <c r="Q66" t="s">
        <v>36</v>
      </c>
      <c r="R66" t="s">
        <v>345</v>
      </c>
      <c r="S66" t="s">
        <v>31</v>
      </c>
    </row>
    <row r="67" spans="1:19">
      <c r="A67">
        <v>100065</v>
      </c>
      <c r="B67" t="s">
        <v>346</v>
      </c>
      <c r="C67" t="s">
        <v>347</v>
      </c>
      <c r="D67" t="s">
        <v>348</v>
      </c>
      <c r="E67" t="s">
        <v>79</v>
      </c>
      <c r="F67" t="s">
        <v>23</v>
      </c>
      <c r="G67" t="s">
        <v>53</v>
      </c>
      <c r="H67" t="s">
        <v>118</v>
      </c>
      <c r="I67">
        <v>1772</v>
      </c>
      <c r="J67">
        <v>75.8</v>
      </c>
      <c r="K67">
        <v>134317.6</v>
      </c>
      <c r="L67">
        <v>159</v>
      </c>
      <c r="M67">
        <v>4607.2</v>
      </c>
      <c r="N67">
        <v>4054.336</v>
      </c>
      <c r="O67">
        <v>308.46</v>
      </c>
      <c r="P67" t="s">
        <v>24</v>
      </c>
      <c r="Q67" t="s">
        <v>28</v>
      </c>
      <c r="R67" t="s">
        <v>349</v>
      </c>
      <c r="S67" t="s">
        <v>30</v>
      </c>
    </row>
    <row r="68" spans="1:19">
      <c r="A68">
        <v>100066</v>
      </c>
      <c r="B68" t="s">
        <v>350</v>
      </c>
      <c r="C68" t="s">
        <v>351</v>
      </c>
      <c r="D68" t="s">
        <v>352</v>
      </c>
      <c r="E68" t="s">
        <v>51</v>
      </c>
      <c r="F68" t="s">
        <v>23</v>
      </c>
      <c r="G68" t="s">
        <v>87</v>
      </c>
      <c r="H68" t="s">
        <v>199</v>
      </c>
      <c r="I68">
        <v>3307</v>
      </c>
      <c r="J68">
        <v>54.9</v>
      </c>
      <c r="K68">
        <v>181554.3</v>
      </c>
      <c r="L68">
        <v>198</v>
      </c>
      <c r="M68">
        <v>3968.4</v>
      </c>
      <c r="N68">
        <v>3373.14</v>
      </c>
      <c r="O68">
        <v>390.06</v>
      </c>
      <c r="P68" t="s">
        <v>24</v>
      </c>
      <c r="Q68" t="s">
        <v>36</v>
      </c>
      <c r="R68" t="s">
        <v>353</v>
      </c>
      <c r="S68" t="s">
        <v>31</v>
      </c>
    </row>
    <row r="69" spans="1:19">
      <c r="A69">
        <v>100066</v>
      </c>
      <c r="B69" t="s">
        <v>350</v>
      </c>
      <c r="C69" t="s">
        <v>351</v>
      </c>
      <c r="D69" t="s">
        <v>352</v>
      </c>
      <c r="E69" t="s">
        <v>91</v>
      </c>
      <c r="F69" t="s">
        <v>23</v>
      </c>
      <c r="G69" t="s">
        <v>87</v>
      </c>
      <c r="H69" t="s">
        <v>227</v>
      </c>
      <c r="I69">
        <v>520</v>
      </c>
      <c r="J69">
        <v>91.4</v>
      </c>
      <c r="K69">
        <v>47528</v>
      </c>
      <c r="L69">
        <v>73</v>
      </c>
      <c r="M69">
        <v>416</v>
      </c>
      <c r="N69">
        <v>349.44</v>
      </c>
      <c r="O69">
        <v>75.92</v>
      </c>
      <c r="P69" t="s">
        <v>24</v>
      </c>
      <c r="Q69" t="s">
        <v>36</v>
      </c>
      <c r="R69" t="s">
        <v>353</v>
      </c>
      <c r="S69" t="s">
        <v>85</v>
      </c>
    </row>
    <row r="70" spans="1:19">
      <c r="A70">
        <v>100068</v>
      </c>
      <c r="B70" t="s">
        <v>354</v>
      </c>
      <c r="C70" t="s">
        <v>355</v>
      </c>
      <c r="D70" t="s">
        <v>356</v>
      </c>
      <c r="E70" t="s">
        <v>81</v>
      </c>
      <c r="F70" t="s">
        <v>23</v>
      </c>
      <c r="G70" t="s">
        <v>90</v>
      </c>
      <c r="H70" t="s">
        <v>118</v>
      </c>
      <c r="I70">
        <v>3738</v>
      </c>
      <c r="J70">
        <v>56.1</v>
      </c>
      <c r="K70">
        <v>209701.8</v>
      </c>
      <c r="L70">
        <v>262</v>
      </c>
      <c r="M70">
        <v>9345</v>
      </c>
      <c r="N70">
        <v>8223.6</v>
      </c>
      <c r="O70">
        <v>479.46</v>
      </c>
      <c r="P70" t="s">
        <v>24</v>
      </c>
      <c r="Q70" t="s">
        <v>36</v>
      </c>
      <c r="R70" t="s">
        <v>357</v>
      </c>
      <c r="S70" t="s">
        <v>55</v>
      </c>
    </row>
    <row r="71" spans="1:19">
      <c r="A71">
        <v>100069</v>
      </c>
      <c r="B71" t="s">
        <v>358</v>
      </c>
      <c r="C71" t="s">
        <v>359</v>
      </c>
      <c r="D71" t="s">
        <v>360</v>
      </c>
      <c r="E71" t="s">
        <v>59</v>
      </c>
      <c r="F71" t="s">
        <v>23</v>
      </c>
      <c r="G71" t="s">
        <v>90</v>
      </c>
      <c r="H71" t="s">
        <v>234</v>
      </c>
      <c r="I71">
        <v>4833</v>
      </c>
      <c r="J71">
        <v>12.5</v>
      </c>
      <c r="K71">
        <v>60412.5</v>
      </c>
      <c r="L71">
        <v>290</v>
      </c>
      <c r="M71">
        <v>9666</v>
      </c>
      <c r="N71">
        <v>8022.78</v>
      </c>
      <c r="O71">
        <v>466.9</v>
      </c>
      <c r="P71" t="s">
        <v>24</v>
      </c>
      <c r="Q71" t="s">
        <v>42</v>
      </c>
      <c r="R71" t="s">
        <v>361</v>
      </c>
      <c r="S71" t="s">
        <v>56</v>
      </c>
    </row>
    <row r="72" spans="1:19">
      <c r="A72">
        <v>100070</v>
      </c>
      <c r="B72" t="s">
        <v>362</v>
      </c>
      <c r="C72" t="s">
        <v>363</v>
      </c>
      <c r="D72" t="s">
        <v>364</v>
      </c>
      <c r="E72" t="s">
        <v>70</v>
      </c>
      <c r="F72" t="s">
        <v>23</v>
      </c>
      <c r="G72" t="s">
        <v>78</v>
      </c>
      <c r="H72" t="s">
        <v>218</v>
      </c>
      <c r="I72">
        <v>3246</v>
      </c>
      <c r="J72">
        <v>70.3</v>
      </c>
      <c r="K72">
        <v>228193.8</v>
      </c>
      <c r="L72">
        <v>227</v>
      </c>
      <c r="M72">
        <v>10387.2</v>
      </c>
      <c r="N72">
        <v>8621.376</v>
      </c>
      <c r="O72">
        <v>392.71</v>
      </c>
      <c r="P72" t="s">
        <v>24</v>
      </c>
      <c r="Q72" t="s">
        <v>28</v>
      </c>
      <c r="R72" t="s">
        <v>365</v>
      </c>
      <c r="S72" t="s">
        <v>55</v>
      </c>
    </row>
    <row r="73" spans="1:19">
      <c r="A73">
        <v>100071</v>
      </c>
      <c r="B73" t="s">
        <v>366</v>
      </c>
      <c r="C73" t="s">
        <v>367</v>
      </c>
      <c r="D73" t="s">
        <v>368</v>
      </c>
      <c r="E73" t="s">
        <v>37</v>
      </c>
      <c r="F73" t="s">
        <v>23</v>
      </c>
      <c r="G73" t="s">
        <v>103</v>
      </c>
      <c r="H73" t="s">
        <v>123</v>
      </c>
      <c r="I73">
        <v>3002</v>
      </c>
      <c r="J73">
        <v>21.5</v>
      </c>
      <c r="K73">
        <v>64543</v>
      </c>
      <c r="L73">
        <v>450</v>
      </c>
      <c r="M73">
        <v>900.6</v>
      </c>
      <c r="N73">
        <v>765.51</v>
      </c>
      <c r="O73">
        <v>886.5</v>
      </c>
      <c r="P73" t="s">
        <v>24</v>
      </c>
      <c r="Q73" t="s">
        <v>36</v>
      </c>
      <c r="R73" t="s">
        <v>369</v>
      </c>
      <c r="S73" t="s">
        <v>31</v>
      </c>
    </row>
    <row r="74" spans="1:19">
      <c r="A74">
        <v>100072</v>
      </c>
      <c r="B74" t="s">
        <v>370</v>
      </c>
      <c r="C74" t="s">
        <v>371</v>
      </c>
      <c r="D74" t="s">
        <v>372</v>
      </c>
      <c r="E74" t="s">
        <v>59</v>
      </c>
      <c r="F74" t="s">
        <v>23</v>
      </c>
      <c r="G74" t="s">
        <v>69</v>
      </c>
      <c r="H74" t="s">
        <v>274</v>
      </c>
      <c r="I74">
        <v>719</v>
      </c>
      <c r="J74">
        <v>36.8</v>
      </c>
      <c r="K74">
        <v>26459.2</v>
      </c>
      <c r="L74">
        <v>50</v>
      </c>
      <c r="M74">
        <v>862.8</v>
      </c>
      <c r="N74">
        <v>724.752</v>
      </c>
      <c r="O74">
        <v>90</v>
      </c>
      <c r="P74" t="s">
        <v>24</v>
      </c>
      <c r="Q74" t="s">
        <v>42</v>
      </c>
      <c r="R74" t="s">
        <v>373</v>
      </c>
      <c r="S74" t="s">
        <v>56</v>
      </c>
    </row>
    <row r="75" spans="1:19">
      <c r="A75">
        <v>100073</v>
      </c>
      <c r="B75" t="s">
        <v>374</v>
      </c>
      <c r="C75" t="s">
        <v>375</v>
      </c>
      <c r="D75" t="s">
        <v>376</v>
      </c>
      <c r="E75" t="s">
        <v>70</v>
      </c>
      <c r="F75" t="s">
        <v>23</v>
      </c>
      <c r="G75" t="s">
        <v>105</v>
      </c>
      <c r="H75" t="s">
        <v>180</v>
      </c>
      <c r="I75">
        <v>4761</v>
      </c>
      <c r="J75">
        <v>53.7</v>
      </c>
      <c r="K75">
        <v>255665.7</v>
      </c>
      <c r="L75">
        <v>428</v>
      </c>
      <c r="M75">
        <v>9522</v>
      </c>
      <c r="N75">
        <v>7712.82</v>
      </c>
      <c r="O75">
        <v>744.72</v>
      </c>
      <c r="P75" t="s">
        <v>24</v>
      </c>
      <c r="Q75" t="s">
        <v>28</v>
      </c>
      <c r="R75" t="s">
        <v>377</v>
      </c>
      <c r="S75" t="s">
        <v>55</v>
      </c>
    </row>
    <row r="76" spans="1:19">
      <c r="A76">
        <v>100073</v>
      </c>
      <c r="B76" t="s">
        <v>374</v>
      </c>
      <c r="C76" t="s">
        <v>375</v>
      </c>
      <c r="D76" t="s">
        <v>376</v>
      </c>
      <c r="E76" t="s">
        <v>59</v>
      </c>
      <c r="F76" t="s">
        <v>23</v>
      </c>
      <c r="G76" t="s">
        <v>105</v>
      </c>
      <c r="H76" t="s">
        <v>180</v>
      </c>
      <c r="I76">
        <v>3146</v>
      </c>
      <c r="J76">
        <v>9.9</v>
      </c>
      <c r="K76">
        <v>31145.4</v>
      </c>
      <c r="L76">
        <v>315</v>
      </c>
      <c r="M76">
        <v>5977.4</v>
      </c>
      <c r="N76">
        <v>5080.79</v>
      </c>
      <c r="O76">
        <v>267.75</v>
      </c>
      <c r="P76" t="s">
        <v>24</v>
      </c>
      <c r="Q76" t="s">
        <v>28</v>
      </c>
      <c r="R76" t="s">
        <v>377</v>
      </c>
      <c r="S76" t="s">
        <v>55</v>
      </c>
    </row>
    <row r="77" spans="1:19">
      <c r="A77">
        <v>100073</v>
      </c>
      <c r="B77" t="s">
        <v>374</v>
      </c>
      <c r="C77" t="s">
        <v>375</v>
      </c>
      <c r="D77" t="s">
        <v>376</v>
      </c>
      <c r="E77" t="s">
        <v>59</v>
      </c>
      <c r="F77" t="s">
        <v>23</v>
      </c>
      <c r="G77" t="s">
        <v>105</v>
      </c>
      <c r="H77" t="s">
        <v>139</v>
      </c>
      <c r="I77">
        <v>1312</v>
      </c>
      <c r="J77">
        <v>76.5</v>
      </c>
      <c r="K77">
        <v>100368</v>
      </c>
      <c r="L77">
        <v>66</v>
      </c>
      <c r="M77">
        <v>1836.8</v>
      </c>
      <c r="N77">
        <v>1542.912</v>
      </c>
      <c r="O77">
        <v>66.66</v>
      </c>
      <c r="P77" t="s">
        <v>24</v>
      </c>
      <c r="Q77" t="s">
        <v>28</v>
      </c>
      <c r="R77" t="s">
        <v>377</v>
      </c>
      <c r="S77" t="s">
        <v>56</v>
      </c>
    </row>
    <row r="78" spans="1:19">
      <c r="A78">
        <v>100076</v>
      </c>
      <c r="B78" t="s">
        <v>378</v>
      </c>
      <c r="C78" t="s">
        <v>379</v>
      </c>
      <c r="D78" t="s">
        <v>380</v>
      </c>
      <c r="E78" t="s">
        <v>83</v>
      </c>
      <c r="F78" t="s">
        <v>23</v>
      </c>
      <c r="G78" t="s">
        <v>41</v>
      </c>
      <c r="H78" t="s">
        <v>118</v>
      </c>
      <c r="I78">
        <v>3623</v>
      </c>
      <c r="J78">
        <v>98.3</v>
      </c>
      <c r="K78">
        <v>356140.9</v>
      </c>
      <c r="L78">
        <v>181</v>
      </c>
      <c r="M78">
        <v>6159.1</v>
      </c>
      <c r="N78">
        <v>5296.826</v>
      </c>
      <c r="O78">
        <v>354.76</v>
      </c>
      <c r="P78" t="s">
        <v>24</v>
      </c>
      <c r="Q78" t="s">
        <v>42</v>
      </c>
      <c r="R78" t="s">
        <v>381</v>
      </c>
      <c r="S78" t="s">
        <v>85</v>
      </c>
    </row>
    <row r="79" spans="1:19">
      <c r="A79">
        <v>100077</v>
      </c>
      <c r="B79" t="s">
        <v>382</v>
      </c>
      <c r="C79" t="s">
        <v>383</v>
      </c>
      <c r="D79" t="s">
        <v>384</v>
      </c>
      <c r="E79" t="s">
        <v>29</v>
      </c>
      <c r="F79" t="s">
        <v>23</v>
      </c>
      <c r="G79" t="s">
        <v>58</v>
      </c>
      <c r="H79" t="s">
        <v>172</v>
      </c>
      <c r="I79">
        <v>1400</v>
      </c>
      <c r="J79">
        <v>33.9</v>
      </c>
      <c r="K79">
        <v>47460</v>
      </c>
      <c r="L79">
        <v>210</v>
      </c>
      <c r="M79">
        <v>560</v>
      </c>
      <c r="N79">
        <v>464.8</v>
      </c>
      <c r="O79">
        <v>323.4</v>
      </c>
      <c r="P79" t="s">
        <v>24</v>
      </c>
      <c r="Q79" t="s">
        <v>42</v>
      </c>
      <c r="R79" t="s">
        <v>385</v>
      </c>
      <c r="S79" t="s">
        <v>30</v>
      </c>
    </row>
    <row r="80" spans="1:19">
      <c r="A80">
        <v>100078</v>
      </c>
      <c r="B80" t="s">
        <v>386</v>
      </c>
      <c r="C80" t="s">
        <v>387</v>
      </c>
      <c r="D80" t="s">
        <v>388</v>
      </c>
      <c r="E80" t="s">
        <v>43</v>
      </c>
      <c r="F80" t="s">
        <v>23</v>
      </c>
      <c r="G80" t="s">
        <v>27</v>
      </c>
      <c r="H80" t="s">
        <v>189</v>
      </c>
      <c r="I80">
        <v>797</v>
      </c>
      <c r="J80">
        <v>52.2</v>
      </c>
      <c r="K80">
        <v>41603.4</v>
      </c>
      <c r="L80">
        <v>80</v>
      </c>
      <c r="M80">
        <v>2550.4</v>
      </c>
      <c r="N80">
        <v>2295.36</v>
      </c>
      <c r="O80">
        <v>136</v>
      </c>
      <c r="P80" t="s">
        <v>24</v>
      </c>
      <c r="Q80" t="s">
        <v>42</v>
      </c>
      <c r="R80" t="s">
        <v>389</v>
      </c>
      <c r="S80" t="s">
        <v>31</v>
      </c>
    </row>
    <row r="81" spans="1:19">
      <c r="A81">
        <v>100079</v>
      </c>
      <c r="B81" t="s">
        <v>390</v>
      </c>
      <c r="C81" t="s">
        <v>391</v>
      </c>
      <c r="D81" t="s">
        <v>392</v>
      </c>
      <c r="E81" t="s">
        <v>65</v>
      </c>
      <c r="F81" t="s">
        <v>23</v>
      </c>
      <c r="G81" t="s">
        <v>101</v>
      </c>
      <c r="H81" t="s">
        <v>112</v>
      </c>
      <c r="I81">
        <v>4532</v>
      </c>
      <c r="J81">
        <v>36.2</v>
      </c>
      <c r="K81">
        <v>164058.4</v>
      </c>
      <c r="L81">
        <v>227</v>
      </c>
      <c r="M81">
        <v>906.4</v>
      </c>
      <c r="N81">
        <v>779.504</v>
      </c>
      <c r="O81">
        <v>245.16</v>
      </c>
      <c r="P81" t="s">
        <v>24</v>
      </c>
      <c r="Q81" t="s">
        <v>42</v>
      </c>
      <c r="R81" t="s">
        <v>393</v>
      </c>
      <c r="S81" t="s">
        <v>67</v>
      </c>
    </row>
    <row r="82" spans="1:19">
      <c r="A82">
        <v>100080</v>
      </c>
      <c r="B82" t="s">
        <v>394</v>
      </c>
      <c r="C82" t="s">
        <v>395</v>
      </c>
      <c r="D82" t="s">
        <v>396</v>
      </c>
      <c r="E82" t="s">
        <v>29</v>
      </c>
      <c r="F82" t="s">
        <v>23</v>
      </c>
      <c r="G82" t="s">
        <v>103</v>
      </c>
      <c r="H82" t="s">
        <v>180</v>
      </c>
      <c r="I82">
        <v>3275</v>
      </c>
      <c r="J82">
        <v>9.1</v>
      </c>
      <c r="K82">
        <v>29802.5</v>
      </c>
      <c r="L82">
        <v>328</v>
      </c>
      <c r="M82">
        <v>1310</v>
      </c>
      <c r="N82">
        <v>1061.1</v>
      </c>
      <c r="O82">
        <v>626.48</v>
      </c>
      <c r="P82" t="s">
        <v>24</v>
      </c>
      <c r="Q82" t="s">
        <v>42</v>
      </c>
      <c r="R82" t="s">
        <v>397</v>
      </c>
      <c r="S82" t="s">
        <v>30</v>
      </c>
    </row>
    <row r="83" spans="1:19">
      <c r="A83">
        <v>100081</v>
      </c>
      <c r="B83" t="s">
        <v>398</v>
      </c>
      <c r="C83" t="s">
        <v>399</v>
      </c>
      <c r="D83" t="s">
        <v>400</v>
      </c>
      <c r="E83" t="s">
        <v>73</v>
      </c>
      <c r="F83" t="s">
        <v>23</v>
      </c>
      <c r="G83" t="s">
        <v>72</v>
      </c>
      <c r="H83" t="s">
        <v>218</v>
      </c>
      <c r="I83">
        <v>2101</v>
      </c>
      <c r="J83">
        <v>43.5</v>
      </c>
      <c r="K83">
        <v>91393.5</v>
      </c>
      <c r="L83">
        <v>210</v>
      </c>
      <c r="M83">
        <v>3781.8</v>
      </c>
      <c r="N83">
        <v>3252.348</v>
      </c>
      <c r="O83">
        <v>247.8</v>
      </c>
      <c r="P83" t="s">
        <v>24</v>
      </c>
      <c r="Q83" t="s">
        <v>28</v>
      </c>
      <c r="R83" t="s">
        <v>401</v>
      </c>
      <c r="S83" t="s">
        <v>31</v>
      </c>
    </row>
    <row r="84" spans="1:19">
      <c r="A84">
        <v>100082</v>
      </c>
      <c r="B84" t="s">
        <v>402</v>
      </c>
      <c r="C84" t="s">
        <v>403</v>
      </c>
      <c r="D84" t="s">
        <v>404</v>
      </c>
      <c r="E84" t="s">
        <v>43</v>
      </c>
      <c r="F84" t="s">
        <v>23</v>
      </c>
      <c r="G84" t="s">
        <v>41</v>
      </c>
      <c r="H84" t="s">
        <v>232</v>
      </c>
      <c r="I84">
        <v>4816</v>
      </c>
      <c r="J84">
        <v>29.6</v>
      </c>
      <c r="K84">
        <v>142553.6</v>
      </c>
      <c r="L84">
        <v>433</v>
      </c>
      <c r="M84">
        <v>8187.2</v>
      </c>
      <c r="N84">
        <v>6877.248</v>
      </c>
      <c r="O84">
        <v>623.52</v>
      </c>
      <c r="P84" t="s">
        <v>24</v>
      </c>
      <c r="Q84" t="s">
        <v>42</v>
      </c>
      <c r="R84" t="s">
        <v>405</v>
      </c>
      <c r="S84" t="s">
        <v>31</v>
      </c>
    </row>
    <row r="85" spans="1:19">
      <c r="A85">
        <v>100083</v>
      </c>
      <c r="B85" t="s">
        <v>406</v>
      </c>
      <c r="C85" t="s">
        <v>407</v>
      </c>
      <c r="D85" t="s">
        <v>408</v>
      </c>
      <c r="E85" t="s">
        <v>59</v>
      </c>
      <c r="F85" t="s">
        <v>23</v>
      </c>
      <c r="G85" t="s">
        <v>96</v>
      </c>
      <c r="H85" t="s">
        <v>218</v>
      </c>
      <c r="I85">
        <v>3788</v>
      </c>
      <c r="J85">
        <v>76.6</v>
      </c>
      <c r="K85">
        <v>290160.8</v>
      </c>
      <c r="L85">
        <v>341</v>
      </c>
      <c r="M85">
        <v>11742.8</v>
      </c>
      <c r="N85">
        <v>9981.38</v>
      </c>
      <c r="O85">
        <v>283.03</v>
      </c>
      <c r="P85" t="s">
        <v>24</v>
      </c>
      <c r="Q85" t="s">
        <v>42</v>
      </c>
      <c r="R85" t="s">
        <v>409</v>
      </c>
      <c r="S85" t="s">
        <v>56</v>
      </c>
    </row>
    <row r="86" spans="1:19">
      <c r="A86">
        <v>100084</v>
      </c>
      <c r="B86" t="s">
        <v>410</v>
      </c>
      <c r="C86" t="s">
        <v>411</v>
      </c>
      <c r="D86" t="s">
        <v>412</v>
      </c>
      <c r="E86" t="s">
        <v>83</v>
      </c>
      <c r="F86" t="s">
        <v>23</v>
      </c>
      <c r="G86" t="s">
        <v>78</v>
      </c>
      <c r="H86" t="s">
        <v>139</v>
      </c>
      <c r="I86">
        <v>4974</v>
      </c>
      <c r="J86">
        <v>19.6</v>
      </c>
      <c r="K86">
        <v>97490.4</v>
      </c>
      <c r="L86">
        <v>746</v>
      </c>
      <c r="M86">
        <v>1989.6</v>
      </c>
      <c r="N86">
        <v>1671.264</v>
      </c>
      <c r="O86">
        <v>1462.16</v>
      </c>
      <c r="P86" t="s">
        <v>24</v>
      </c>
      <c r="Q86" t="s">
        <v>36</v>
      </c>
      <c r="R86" t="s">
        <v>413</v>
      </c>
      <c r="S86" t="s">
        <v>85</v>
      </c>
    </row>
    <row r="87" spans="1:19">
      <c r="A87">
        <v>100085</v>
      </c>
      <c r="B87" t="s">
        <v>414</v>
      </c>
      <c r="C87" t="s">
        <v>415</v>
      </c>
      <c r="D87" t="s">
        <v>416</v>
      </c>
      <c r="E87" t="s">
        <v>29</v>
      </c>
      <c r="F87" t="s">
        <v>23</v>
      </c>
      <c r="G87" t="s">
        <v>35</v>
      </c>
      <c r="H87" t="s">
        <v>118</v>
      </c>
      <c r="I87">
        <v>3948</v>
      </c>
      <c r="J87">
        <v>93.7</v>
      </c>
      <c r="K87">
        <v>369927.6</v>
      </c>
      <c r="L87">
        <v>474</v>
      </c>
      <c r="M87">
        <v>15792</v>
      </c>
      <c r="N87">
        <v>14212.8</v>
      </c>
      <c r="O87">
        <v>635.16</v>
      </c>
      <c r="P87" t="s">
        <v>24</v>
      </c>
      <c r="Q87" t="s">
        <v>42</v>
      </c>
      <c r="R87" t="s">
        <v>417</v>
      </c>
      <c r="S87" t="s">
        <v>30</v>
      </c>
    </row>
    <row r="88" spans="1:19">
      <c r="A88">
        <v>100086</v>
      </c>
      <c r="B88" t="s">
        <v>418</v>
      </c>
      <c r="C88" t="s">
        <v>419</v>
      </c>
      <c r="D88" t="s">
        <v>420</v>
      </c>
      <c r="E88" t="s">
        <v>88</v>
      </c>
      <c r="F88" t="s">
        <v>23</v>
      </c>
      <c r="G88" t="s">
        <v>101</v>
      </c>
      <c r="H88" t="s">
        <v>112</v>
      </c>
      <c r="I88">
        <v>2067</v>
      </c>
      <c r="J88">
        <v>78.3</v>
      </c>
      <c r="K88">
        <v>161846.1</v>
      </c>
      <c r="L88">
        <v>310</v>
      </c>
      <c r="M88">
        <v>2687.1</v>
      </c>
      <c r="N88">
        <v>2391.519</v>
      </c>
      <c r="O88">
        <v>427.8</v>
      </c>
      <c r="P88" t="s">
        <v>24</v>
      </c>
      <c r="Q88" t="s">
        <v>36</v>
      </c>
      <c r="R88" t="s">
        <v>421</v>
      </c>
      <c r="S88" t="s">
        <v>30</v>
      </c>
    </row>
    <row r="89" spans="1:19">
      <c r="A89">
        <v>100087</v>
      </c>
      <c r="B89" t="s">
        <v>422</v>
      </c>
      <c r="C89" t="s">
        <v>423</v>
      </c>
      <c r="D89" t="s">
        <v>424</v>
      </c>
      <c r="E89" t="s">
        <v>51</v>
      </c>
      <c r="F89" t="s">
        <v>23</v>
      </c>
      <c r="G89" t="s">
        <v>34</v>
      </c>
      <c r="H89" t="s">
        <v>274</v>
      </c>
      <c r="I89">
        <v>1457</v>
      </c>
      <c r="J89">
        <v>26.6</v>
      </c>
      <c r="K89">
        <v>38756.2</v>
      </c>
      <c r="L89">
        <v>189</v>
      </c>
      <c r="M89">
        <v>5245.2</v>
      </c>
      <c r="N89">
        <v>4563.324</v>
      </c>
      <c r="O89">
        <v>255.15</v>
      </c>
      <c r="P89" t="s">
        <v>24</v>
      </c>
      <c r="Q89" t="s">
        <v>28</v>
      </c>
      <c r="R89" t="s">
        <v>425</v>
      </c>
      <c r="S89" t="s">
        <v>30</v>
      </c>
    </row>
    <row r="90" spans="1:19">
      <c r="A90">
        <v>100088</v>
      </c>
      <c r="B90" t="s">
        <v>426</v>
      </c>
      <c r="C90" t="s">
        <v>427</v>
      </c>
      <c r="D90" t="s">
        <v>428</v>
      </c>
      <c r="E90" t="s">
        <v>88</v>
      </c>
      <c r="F90" t="s">
        <v>23</v>
      </c>
      <c r="G90" t="s">
        <v>105</v>
      </c>
      <c r="H90" t="s">
        <v>128</v>
      </c>
      <c r="I90">
        <v>2583</v>
      </c>
      <c r="J90">
        <v>39.9</v>
      </c>
      <c r="K90">
        <v>103061.7</v>
      </c>
      <c r="L90">
        <v>284</v>
      </c>
      <c r="M90">
        <v>3357.9</v>
      </c>
      <c r="N90">
        <v>2921.373</v>
      </c>
      <c r="O90">
        <v>389.08</v>
      </c>
      <c r="P90" t="s">
        <v>24</v>
      </c>
      <c r="Q90" t="s">
        <v>42</v>
      </c>
      <c r="R90" t="s">
        <v>429</v>
      </c>
      <c r="S90" t="s">
        <v>67</v>
      </c>
    </row>
    <row r="91" spans="1:19">
      <c r="A91">
        <v>100089</v>
      </c>
      <c r="B91" t="s">
        <v>430</v>
      </c>
      <c r="C91" t="s">
        <v>431</v>
      </c>
      <c r="D91" t="s">
        <v>432</v>
      </c>
      <c r="E91" t="s">
        <v>91</v>
      </c>
      <c r="F91" t="s">
        <v>23</v>
      </c>
      <c r="G91" t="s">
        <v>46</v>
      </c>
      <c r="H91" t="s">
        <v>218</v>
      </c>
      <c r="I91">
        <v>4649</v>
      </c>
      <c r="J91">
        <v>28.8</v>
      </c>
      <c r="K91">
        <v>133891.2</v>
      </c>
      <c r="L91">
        <v>372</v>
      </c>
      <c r="M91">
        <v>6973.5</v>
      </c>
      <c r="N91">
        <v>5927.475</v>
      </c>
      <c r="O91">
        <v>736.56</v>
      </c>
      <c r="P91" t="s">
        <v>24</v>
      </c>
      <c r="Q91" t="s">
        <v>28</v>
      </c>
      <c r="R91" t="s">
        <v>433</v>
      </c>
      <c r="S91" t="s">
        <v>67</v>
      </c>
    </row>
    <row r="92" spans="1:19">
      <c r="A92">
        <v>100090</v>
      </c>
      <c r="B92" t="s">
        <v>434</v>
      </c>
      <c r="C92" t="s">
        <v>435</v>
      </c>
      <c r="D92" t="s">
        <v>436</v>
      </c>
      <c r="E92" t="s">
        <v>37</v>
      </c>
      <c r="F92" t="s">
        <v>23</v>
      </c>
      <c r="G92" t="s">
        <v>78</v>
      </c>
      <c r="H92" t="s">
        <v>172</v>
      </c>
      <c r="I92">
        <v>2303</v>
      </c>
      <c r="J92">
        <v>51.7</v>
      </c>
      <c r="K92">
        <v>119065.1</v>
      </c>
      <c r="L92">
        <v>345</v>
      </c>
      <c r="M92">
        <v>6448.4</v>
      </c>
      <c r="N92">
        <v>5739.076</v>
      </c>
      <c r="O92">
        <v>445.05</v>
      </c>
      <c r="P92" t="s">
        <v>24</v>
      </c>
      <c r="Q92" t="s">
        <v>28</v>
      </c>
      <c r="R92" t="s">
        <v>437</v>
      </c>
      <c r="S92" t="s">
        <v>30</v>
      </c>
    </row>
    <row r="93" spans="1:19">
      <c r="A93">
        <v>100091</v>
      </c>
      <c r="B93" t="s">
        <v>438</v>
      </c>
      <c r="C93" t="s">
        <v>439</v>
      </c>
      <c r="D93" t="s">
        <v>440</v>
      </c>
      <c r="E93" t="s">
        <v>65</v>
      </c>
      <c r="F93" t="s">
        <v>23</v>
      </c>
      <c r="G93" t="s">
        <v>98</v>
      </c>
      <c r="H93" t="s">
        <v>128</v>
      </c>
      <c r="I93">
        <v>2516</v>
      </c>
      <c r="J93">
        <v>93.6</v>
      </c>
      <c r="K93">
        <v>235497.6</v>
      </c>
      <c r="L93">
        <v>201</v>
      </c>
      <c r="M93">
        <v>9057.6</v>
      </c>
      <c r="N93">
        <v>7427.232</v>
      </c>
      <c r="O93">
        <v>162.81</v>
      </c>
      <c r="P93" t="s">
        <v>24</v>
      </c>
      <c r="Q93" t="s">
        <v>36</v>
      </c>
      <c r="R93" t="s">
        <v>441</v>
      </c>
      <c r="S93" t="s">
        <v>66</v>
      </c>
    </row>
    <row r="94" spans="1:19">
      <c r="A94">
        <v>100092</v>
      </c>
      <c r="B94" t="s">
        <v>442</v>
      </c>
      <c r="C94" t="s">
        <v>443</v>
      </c>
      <c r="D94" t="s">
        <v>444</v>
      </c>
      <c r="E94" t="s">
        <v>76</v>
      </c>
      <c r="F94" t="s">
        <v>23</v>
      </c>
      <c r="G94" t="s">
        <v>103</v>
      </c>
      <c r="H94" t="s">
        <v>199</v>
      </c>
      <c r="I94">
        <v>1104</v>
      </c>
      <c r="J94">
        <v>51.3</v>
      </c>
      <c r="K94">
        <v>56635.2</v>
      </c>
      <c r="L94">
        <v>166</v>
      </c>
      <c r="M94">
        <v>993.6</v>
      </c>
      <c r="N94">
        <v>854.496</v>
      </c>
      <c r="O94">
        <v>169.32</v>
      </c>
      <c r="P94" t="s">
        <v>24</v>
      </c>
      <c r="Q94" t="s">
        <v>28</v>
      </c>
      <c r="R94" t="s">
        <v>445</v>
      </c>
      <c r="S94" t="s">
        <v>55</v>
      </c>
    </row>
    <row r="95" spans="1:19">
      <c r="A95">
        <v>100093</v>
      </c>
      <c r="B95" t="s">
        <v>446</v>
      </c>
      <c r="C95" t="s">
        <v>447</v>
      </c>
      <c r="D95" t="s">
        <v>448</v>
      </c>
      <c r="E95" t="s">
        <v>29</v>
      </c>
      <c r="F95" t="s">
        <v>23</v>
      </c>
      <c r="G95" t="s">
        <v>80</v>
      </c>
      <c r="H95" t="s">
        <v>232</v>
      </c>
      <c r="I95">
        <v>1677</v>
      </c>
      <c r="J95">
        <v>77.2</v>
      </c>
      <c r="K95">
        <v>129464.4</v>
      </c>
      <c r="L95">
        <v>117</v>
      </c>
      <c r="M95">
        <v>2850.9</v>
      </c>
      <c r="N95">
        <v>2423.265</v>
      </c>
      <c r="O95">
        <v>208.26</v>
      </c>
      <c r="P95" t="s">
        <v>24</v>
      </c>
      <c r="Q95" t="s">
        <v>42</v>
      </c>
      <c r="R95" t="s">
        <v>449</v>
      </c>
      <c r="S95" t="s">
        <v>31</v>
      </c>
    </row>
    <row r="96" spans="1:19">
      <c r="A96">
        <v>100093</v>
      </c>
      <c r="B96" t="s">
        <v>446</v>
      </c>
      <c r="C96" t="s">
        <v>447</v>
      </c>
      <c r="D96" t="s">
        <v>448</v>
      </c>
      <c r="E96" t="s">
        <v>62</v>
      </c>
      <c r="F96" t="s">
        <v>23</v>
      </c>
      <c r="G96" t="s">
        <v>80</v>
      </c>
      <c r="H96" t="s">
        <v>274</v>
      </c>
      <c r="I96">
        <v>4027</v>
      </c>
      <c r="J96">
        <v>66.9</v>
      </c>
      <c r="K96">
        <v>269406.3</v>
      </c>
      <c r="L96">
        <v>242</v>
      </c>
      <c r="M96">
        <v>8054</v>
      </c>
      <c r="N96">
        <v>6604.28</v>
      </c>
      <c r="O96">
        <v>406.56</v>
      </c>
      <c r="P96" t="s">
        <v>24</v>
      </c>
      <c r="Q96" t="s">
        <v>42</v>
      </c>
      <c r="R96" t="s">
        <v>449</v>
      </c>
      <c r="S96" t="s">
        <v>56</v>
      </c>
    </row>
    <row r="97" spans="1:19">
      <c r="A97">
        <v>100093</v>
      </c>
      <c r="B97" t="s">
        <v>446</v>
      </c>
      <c r="C97" t="s">
        <v>447</v>
      </c>
      <c r="D97" t="s">
        <v>448</v>
      </c>
      <c r="E97" t="s">
        <v>79</v>
      </c>
      <c r="F97" t="s">
        <v>23</v>
      </c>
      <c r="G97" t="s">
        <v>80</v>
      </c>
      <c r="H97" t="s">
        <v>325</v>
      </c>
      <c r="I97">
        <v>3256</v>
      </c>
      <c r="J97">
        <v>14.9</v>
      </c>
      <c r="K97">
        <v>48514.4</v>
      </c>
      <c r="L97">
        <v>358</v>
      </c>
      <c r="M97">
        <v>5535.2</v>
      </c>
      <c r="N97">
        <v>4704.92</v>
      </c>
      <c r="O97">
        <v>286.4</v>
      </c>
      <c r="P97" t="s">
        <v>24</v>
      </c>
      <c r="Q97" t="s">
        <v>42</v>
      </c>
      <c r="R97" t="s">
        <v>449</v>
      </c>
      <c r="S97" t="s">
        <v>30</v>
      </c>
    </row>
    <row r="98" spans="1:19">
      <c r="A98">
        <v>100096</v>
      </c>
      <c r="B98" t="s">
        <v>450</v>
      </c>
      <c r="C98" t="s">
        <v>451</v>
      </c>
      <c r="D98" t="s">
        <v>452</v>
      </c>
      <c r="E98" t="s">
        <v>51</v>
      </c>
      <c r="F98" t="s">
        <v>23</v>
      </c>
      <c r="G98" t="s">
        <v>53</v>
      </c>
      <c r="H98" t="s">
        <v>218</v>
      </c>
      <c r="I98">
        <v>757</v>
      </c>
      <c r="J98">
        <v>79</v>
      </c>
      <c r="K98">
        <v>59803</v>
      </c>
      <c r="L98">
        <v>68</v>
      </c>
      <c r="M98">
        <v>2649.5</v>
      </c>
      <c r="N98">
        <v>2172.59</v>
      </c>
      <c r="O98">
        <v>74.12</v>
      </c>
      <c r="P98" t="s">
        <v>24</v>
      </c>
      <c r="Q98" t="s">
        <v>28</v>
      </c>
      <c r="R98" t="s">
        <v>453</v>
      </c>
      <c r="S98" t="s">
        <v>30</v>
      </c>
    </row>
    <row r="99" spans="1:19">
      <c r="A99">
        <v>100097</v>
      </c>
      <c r="B99" t="s">
        <v>454</v>
      </c>
      <c r="C99" t="s">
        <v>455</v>
      </c>
      <c r="D99" t="s">
        <v>456</v>
      </c>
      <c r="E99" t="s">
        <v>59</v>
      </c>
      <c r="F99" t="s">
        <v>23</v>
      </c>
      <c r="G99" t="s">
        <v>103</v>
      </c>
      <c r="H99" t="s">
        <v>204</v>
      </c>
      <c r="I99">
        <v>3979</v>
      </c>
      <c r="J99">
        <v>52.3</v>
      </c>
      <c r="K99">
        <v>208101.7</v>
      </c>
      <c r="L99">
        <v>597</v>
      </c>
      <c r="M99">
        <v>8355.9</v>
      </c>
      <c r="N99">
        <v>7018.956</v>
      </c>
      <c r="O99">
        <v>656.7</v>
      </c>
      <c r="P99" t="s">
        <v>24</v>
      </c>
      <c r="Q99" t="s">
        <v>42</v>
      </c>
      <c r="R99" t="s">
        <v>457</v>
      </c>
      <c r="S99" t="s">
        <v>56</v>
      </c>
    </row>
    <row r="100" spans="1:19">
      <c r="A100">
        <v>100098</v>
      </c>
      <c r="B100" t="s">
        <v>458</v>
      </c>
      <c r="C100" t="s">
        <v>459</v>
      </c>
      <c r="D100" t="s">
        <v>460</v>
      </c>
      <c r="E100" t="s">
        <v>48</v>
      </c>
      <c r="F100" t="s">
        <v>23</v>
      </c>
      <c r="G100" t="s">
        <v>35</v>
      </c>
      <c r="H100" t="s">
        <v>189</v>
      </c>
      <c r="I100">
        <v>1733</v>
      </c>
      <c r="J100">
        <v>64.1</v>
      </c>
      <c r="K100">
        <v>111085.3</v>
      </c>
      <c r="L100">
        <v>121</v>
      </c>
      <c r="M100">
        <v>3466</v>
      </c>
      <c r="N100">
        <v>3050.08</v>
      </c>
      <c r="O100">
        <v>179.08</v>
      </c>
      <c r="P100" t="s">
        <v>24</v>
      </c>
      <c r="Q100" t="s">
        <v>42</v>
      </c>
      <c r="R100" t="s">
        <v>461</v>
      </c>
      <c r="S100" t="s">
        <v>31</v>
      </c>
    </row>
    <row r="101" spans="1:19">
      <c r="A101">
        <v>100099</v>
      </c>
      <c r="B101" t="s">
        <v>462</v>
      </c>
      <c r="C101" t="s">
        <v>463</v>
      </c>
      <c r="D101" t="s">
        <v>464</v>
      </c>
      <c r="E101" t="s">
        <v>88</v>
      </c>
      <c r="F101" t="s">
        <v>23</v>
      </c>
      <c r="G101" t="s">
        <v>64</v>
      </c>
      <c r="H101" t="s">
        <v>148</v>
      </c>
      <c r="I101">
        <v>1003</v>
      </c>
      <c r="J101">
        <v>6.5</v>
      </c>
      <c r="K101">
        <v>6519.5</v>
      </c>
      <c r="L101">
        <v>120</v>
      </c>
      <c r="M101">
        <v>802.4</v>
      </c>
      <c r="N101">
        <v>698.088</v>
      </c>
      <c r="O101">
        <v>126</v>
      </c>
      <c r="P101" t="s">
        <v>24</v>
      </c>
      <c r="Q101" t="s">
        <v>28</v>
      </c>
      <c r="R101" t="s">
        <v>465</v>
      </c>
      <c r="S101" t="s">
        <v>30</v>
      </c>
    </row>
    <row r="102" spans="1:19">
      <c r="A102">
        <v>100100</v>
      </c>
      <c r="B102" t="s">
        <v>466</v>
      </c>
      <c r="C102" t="s">
        <v>467</v>
      </c>
      <c r="D102" t="s">
        <v>468</v>
      </c>
      <c r="E102" t="s">
        <v>88</v>
      </c>
      <c r="F102" t="s">
        <v>23</v>
      </c>
      <c r="G102" t="s">
        <v>82</v>
      </c>
      <c r="H102" t="s">
        <v>135</v>
      </c>
      <c r="I102">
        <v>1202</v>
      </c>
      <c r="J102">
        <v>59.8</v>
      </c>
      <c r="K102">
        <v>71879.6</v>
      </c>
      <c r="L102">
        <v>132</v>
      </c>
      <c r="M102">
        <v>1803</v>
      </c>
      <c r="N102">
        <v>1496.49</v>
      </c>
      <c r="O102">
        <v>178.2</v>
      </c>
      <c r="P102" t="s">
        <v>24</v>
      </c>
      <c r="Q102" t="s">
        <v>42</v>
      </c>
      <c r="R102" t="s">
        <v>469</v>
      </c>
      <c r="S102" t="s">
        <v>30</v>
      </c>
    </row>
    <row r="103" spans="1:19">
      <c r="A103">
        <v>100101</v>
      </c>
      <c r="B103" t="s">
        <v>470</v>
      </c>
      <c r="C103" t="s">
        <v>471</v>
      </c>
      <c r="D103" t="s">
        <v>472</v>
      </c>
      <c r="E103" t="s">
        <v>37</v>
      </c>
      <c r="F103" t="s">
        <v>23</v>
      </c>
      <c r="G103" t="s">
        <v>103</v>
      </c>
      <c r="H103" t="s">
        <v>135</v>
      </c>
      <c r="I103">
        <v>2506</v>
      </c>
      <c r="J103">
        <v>63</v>
      </c>
      <c r="K103">
        <v>157878</v>
      </c>
      <c r="L103">
        <v>301</v>
      </c>
      <c r="M103">
        <v>9272.2</v>
      </c>
      <c r="N103">
        <v>7510.482</v>
      </c>
      <c r="O103">
        <v>319.06</v>
      </c>
      <c r="P103" t="s">
        <v>24</v>
      </c>
      <c r="Q103" t="s">
        <v>42</v>
      </c>
      <c r="R103" t="s">
        <v>473</v>
      </c>
      <c r="S103" t="s">
        <v>30</v>
      </c>
    </row>
    <row r="104" spans="1:19">
      <c r="A104">
        <v>100102</v>
      </c>
      <c r="B104" t="s">
        <v>474</v>
      </c>
      <c r="C104" t="s">
        <v>475</v>
      </c>
      <c r="D104" t="s">
        <v>476</v>
      </c>
      <c r="E104" t="s">
        <v>94</v>
      </c>
      <c r="F104" t="s">
        <v>23</v>
      </c>
      <c r="G104" t="s">
        <v>103</v>
      </c>
      <c r="H104" t="s">
        <v>134</v>
      </c>
      <c r="I104">
        <v>1624</v>
      </c>
      <c r="J104">
        <v>86.6</v>
      </c>
      <c r="K104">
        <v>140638.4</v>
      </c>
      <c r="L104">
        <v>81</v>
      </c>
      <c r="M104">
        <v>5684</v>
      </c>
      <c r="N104">
        <v>5058.76</v>
      </c>
      <c r="O104">
        <v>101.25</v>
      </c>
      <c r="P104" t="s">
        <v>24</v>
      </c>
      <c r="Q104" t="s">
        <v>36</v>
      </c>
      <c r="R104" t="s">
        <v>477</v>
      </c>
      <c r="S104" t="s">
        <v>85</v>
      </c>
    </row>
    <row r="105" spans="1:19">
      <c r="A105">
        <v>100103</v>
      </c>
      <c r="B105" t="s">
        <v>478</v>
      </c>
      <c r="C105" t="s">
        <v>479</v>
      </c>
      <c r="D105" t="s">
        <v>480</v>
      </c>
      <c r="E105" t="s">
        <v>94</v>
      </c>
      <c r="F105" t="s">
        <v>23</v>
      </c>
      <c r="G105" t="s">
        <v>87</v>
      </c>
      <c r="H105" t="s">
        <v>227</v>
      </c>
      <c r="I105">
        <v>4371</v>
      </c>
      <c r="J105">
        <v>95.4</v>
      </c>
      <c r="K105">
        <v>416993.4</v>
      </c>
      <c r="L105">
        <v>656</v>
      </c>
      <c r="M105">
        <v>4371</v>
      </c>
      <c r="N105">
        <v>3540.51</v>
      </c>
      <c r="O105">
        <v>1036.48</v>
      </c>
      <c r="P105" t="s">
        <v>24</v>
      </c>
      <c r="Q105" t="s">
        <v>28</v>
      </c>
      <c r="R105" t="s">
        <v>481</v>
      </c>
      <c r="S105" t="s">
        <v>85</v>
      </c>
    </row>
    <row r="106" spans="1:19">
      <c r="A106">
        <v>100104</v>
      </c>
      <c r="B106" t="s">
        <v>482</v>
      </c>
      <c r="C106" t="s">
        <v>483</v>
      </c>
      <c r="D106" t="s">
        <v>484</v>
      </c>
      <c r="E106" t="s">
        <v>54</v>
      </c>
      <c r="F106" t="s">
        <v>23</v>
      </c>
      <c r="G106" t="s">
        <v>35</v>
      </c>
      <c r="H106" t="s">
        <v>274</v>
      </c>
      <c r="I106">
        <v>3848</v>
      </c>
      <c r="J106">
        <v>70</v>
      </c>
      <c r="K106">
        <v>269360</v>
      </c>
      <c r="L106">
        <v>346</v>
      </c>
      <c r="M106">
        <v>3848</v>
      </c>
      <c r="N106">
        <v>3232.32</v>
      </c>
      <c r="O106">
        <v>335.62</v>
      </c>
      <c r="P106" t="s">
        <v>24</v>
      </c>
      <c r="Q106" t="s">
        <v>36</v>
      </c>
      <c r="R106" t="s">
        <v>485</v>
      </c>
      <c r="S106" t="s">
        <v>56</v>
      </c>
    </row>
    <row r="107" spans="1:19">
      <c r="A107">
        <v>100105</v>
      </c>
      <c r="B107" t="s">
        <v>486</v>
      </c>
      <c r="C107" t="s">
        <v>487</v>
      </c>
      <c r="D107" t="s">
        <v>488</v>
      </c>
      <c r="E107" t="s">
        <v>88</v>
      </c>
      <c r="F107" t="s">
        <v>23</v>
      </c>
      <c r="G107" t="s">
        <v>103</v>
      </c>
      <c r="H107" t="s">
        <v>234</v>
      </c>
      <c r="I107">
        <v>2530</v>
      </c>
      <c r="J107">
        <v>84.4</v>
      </c>
      <c r="K107">
        <v>213532</v>
      </c>
      <c r="L107">
        <v>380</v>
      </c>
      <c r="M107">
        <v>8602</v>
      </c>
      <c r="N107">
        <v>7053.64</v>
      </c>
      <c r="O107">
        <v>311.6</v>
      </c>
      <c r="P107" t="s">
        <v>24</v>
      </c>
      <c r="Q107" t="s">
        <v>36</v>
      </c>
      <c r="R107" t="s">
        <v>489</v>
      </c>
      <c r="S107" t="s">
        <v>30</v>
      </c>
    </row>
    <row r="108" spans="1:19">
      <c r="A108">
        <v>100106</v>
      </c>
      <c r="B108" t="s">
        <v>490</v>
      </c>
      <c r="C108" t="s">
        <v>491</v>
      </c>
      <c r="D108" t="s">
        <v>492</v>
      </c>
      <c r="E108" t="s">
        <v>91</v>
      </c>
      <c r="F108" t="s">
        <v>23</v>
      </c>
      <c r="G108" t="s">
        <v>96</v>
      </c>
      <c r="H108" t="s">
        <v>148</v>
      </c>
      <c r="I108">
        <v>1937</v>
      </c>
      <c r="J108">
        <v>43.8</v>
      </c>
      <c r="K108">
        <v>84840.6</v>
      </c>
      <c r="L108">
        <v>291</v>
      </c>
      <c r="M108">
        <v>2518.1</v>
      </c>
      <c r="N108">
        <v>2165.566</v>
      </c>
      <c r="O108">
        <v>334.65</v>
      </c>
      <c r="P108" t="s">
        <v>24</v>
      </c>
      <c r="Q108" t="s">
        <v>42</v>
      </c>
      <c r="R108" t="s">
        <v>493</v>
      </c>
      <c r="S108" t="s">
        <v>85</v>
      </c>
    </row>
    <row r="109" spans="1:19">
      <c r="A109">
        <v>100107</v>
      </c>
      <c r="B109" t="s">
        <v>494</v>
      </c>
      <c r="C109" t="s">
        <v>495</v>
      </c>
      <c r="D109" t="s">
        <v>496</v>
      </c>
      <c r="E109" t="s">
        <v>65</v>
      </c>
      <c r="F109" t="s">
        <v>23</v>
      </c>
      <c r="G109" t="s">
        <v>41</v>
      </c>
      <c r="H109" t="s">
        <v>497</v>
      </c>
      <c r="I109">
        <v>4647</v>
      </c>
      <c r="J109">
        <v>33.5</v>
      </c>
      <c r="K109">
        <v>155674.5</v>
      </c>
      <c r="L109">
        <v>279</v>
      </c>
      <c r="M109">
        <v>3717.6</v>
      </c>
      <c r="N109">
        <v>3345.84</v>
      </c>
      <c r="O109">
        <v>463.14</v>
      </c>
      <c r="P109" t="s">
        <v>24</v>
      </c>
      <c r="Q109" t="s">
        <v>28</v>
      </c>
      <c r="R109" t="s">
        <v>498</v>
      </c>
      <c r="S109" t="s">
        <v>66</v>
      </c>
    </row>
    <row r="110" spans="1:19">
      <c r="A110">
        <v>100107</v>
      </c>
      <c r="B110" t="s">
        <v>494</v>
      </c>
      <c r="C110" t="s">
        <v>495</v>
      </c>
      <c r="D110" t="s">
        <v>496</v>
      </c>
      <c r="E110" t="s">
        <v>76</v>
      </c>
      <c r="F110" t="s">
        <v>23</v>
      </c>
      <c r="G110" t="s">
        <v>41</v>
      </c>
      <c r="H110" t="s">
        <v>134</v>
      </c>
      <c r="I110">
        <v>2517</v>
      </c>
      <c r="J110">
        <v>38.7</v>
      </c>
      <c r="K110">
        <v>97407.9</v>
      </c>
      <c r="L110">
        <v>176</v>
      </c>
      <c r="M110">
        <v>5789.1</v>
      </c>
      <c r="N110">
        <v>4689.171</v>
      </c>
      <c r="O110">
        <v>241.12</v>
      </c>
      <c r="P110" t="s">
        <v>24</v>
      </c>
      <c r="Q110" t="s">
        <v>28</v>
      </c>
      <c r="R110" t="s">
        <v>498</v>
      </c>
      <c r="S110" t="s">
        <v>55</v>
      </c>
    </row>
    <row r="111" spans="1:19">
      <c r="A111">
        <v>100109</v>
      </c>
      <c r="B111" t="s">
        <v>499</v>
      </c>
      <c r="C111" t="s">
        <v>500</v>
      </c>
      <c r="D111" t="s">
        <v>501</v>
      </c>
      <c r="E111" t="s">
        <v>51</v>
      </c>
      <c r="F111" t="s">
        <v>23</v>
      </c>
      <c r="G111" t="s">
        <v>103</v>
      </c>
      <c r="H111" t="s">
        <v>114</v>
      </c>
      <c r="I111">
        <v>4974</v>
      </c>
      <c r="J111">
        <v>83.2</v>
      </c>
      <c r="K111">
        <v>413836.8</v>
      </c>
      <c r="L111">
        <v>597</v>
      </c>
      <c r="M111">
        <v>2487</v>
      </c>
      <c r="N111">
        <v>2238.3</v>
      </c>
      <c r="O111">
        <v>871.62</v>
      </c>
      <c r="P111" t="s">
        <v>24</v>
      </c>
      <c r="Q111" t="s">
        <v>42</v>
      </c>
      <c r="R111" t="s">
        <v>502</v>
      </c>
      <c r="S111" t="s">
        <v>30</v>
      </c>
    </row>
    <row r="112" spans="1:19">
      <c r="A112">
        <v>100110</v>
      </c>
      <c r="B112" t="s">
        <v>503</v>
      </c>
      <c r="C112" t="s">
        <v>504</v>
      </c>
      <c r="D112" t="s">
        <v>505</v>
      </c>
      <c r="E112" t="s">
        <v>83</v>
      </c>
      <c r="F112" t="s">
        <v>23</v>
      </c>
      <c r="G112" t="s">
        <v>41</v>
      </c>
      <c r="H112" t="s">
        <v>204</v>
      </c>
      <c r="I112">
        <v>561</v>
      </c>
      <c r="J112">
        <v>61.8</v>
      </c>
      <c r="K112">
        <v>34669.8</v>
      </c>
      <c r="L112">
        <v>28</v>
      </c>
      <c r="M112">
        <v>224.4</v>
      </c>
      <c r="N112">
        <v>188.496</v>
      </c>
      <c r="O112">
        <v>24.64</v>
      </c>
      <c r="P112" t="s">
        <v>24</v>
      </c>
      <c r="Q112" t="s">
        <v>28</v>
      </c>
      <c r="R112" t="s">
        <v>506</v>
      </c>
      <c r="S112" t="s">
        <v>84</v>
      </c>
    </row>
    <row r="113" spans="1:19">
      <c r="A113">
        <v>100111</v>
      </c>
      <c r="B113" t="s">
        <v>507</v>
      </c>
      <c r="C113" t="s">
        <v>508</v>
      </c>
      <c r="D113" t="s">
        <v>509</v>
      </c>
      <c r="E113" t="s">
        <v>37</v>
      </c>
      <c r="F113" t="s">
        <v>23</v>
      </c>
      <c r="G113" t="s">
        <v>96</v>
      </c>
      <c r="H113" t="s">
        <v>134</v>
      </c>
      <c r="I113">
        <v>4928</v>
      </c>
      <c r="J113">
        <v>98.9</v>
      </c>
      <c r="K113">
        <v>487379.2</v>
      </c>
      <c r="L113">
        <v>690</v>
      </c>
      <c r="M113">
        <v>5913.6</v>
      </c>
      <c r="N113">
        <v>5085.696</v>
      </c>
      <c r="O113">
        <v>1173</v>
      </c>
      <c r="P113" t="s">
        <v>24</v>
      </c>
      <c r="Q113" t="s">
        <v>28</v>
      </c>
      <c r="R113" t="s">
        <v>510</v>
      </c>
      <c r="S113" t="s">
        <v>30</v>
      </c>
    </row>
    <row r="114" spans="1:19">
      <c r="A114">
        <v>100112</v>
      </c>
      <c r="B114" t="s">
        <v>511</v>
      </c>
      <c r="C114" t="s">
        <v>512</v>
      </c>
      <c r="D114" t="s">
        <v>513</v>
      </c>
      <c r="E114" t="s">
        <v>62</v>
      </c>
      <c r="F114" t="s">
        <v>23</v>
      </c>
      <c r="G114" t="s">
        <v>61</v>
      </c>
      <c r="H114" t="s">
        <v>194</v>
      </c>
      <c r="I114">
        <v>600</v>
      </c>
      <c r="J114">
        <v>25.1</v>
      </c>
      <c r="K114">
        <v>15060</v>
      </c>
      <c r="L114">
        <v>78</v>
      </c>
      <c r="M114">
        <v>780</v>
      </c>
      <c r="N114">
        <v>631.8</v>
      </c>
      <c r="O114">
        <v>74.88</v>
      </c>
      <c r="P114" t="s">
        <v>24</v>
      </c>
      <c r="Q114" t="s">
        <v>36</v>
      </c>
      <c r="R114" t="s">
        <v>514</v>
      </c>
      <c r="S114" t="s">
        <v>56</v>
      </c>
    </row>
    <row r="115" spans="1:19">
      <c r="A115">
        <v>100113</v>
      </c>
      <c r="B115" t="s">
        <v>515</v>
      </c>
      <c r="C115" t="s">
        <v>516</v>
      </c>
      <c r="D115" t="s">
        <v>517</v>
      </c>
      <c r="E115" t="s">
        <v>81</v>
      </c>
      <c r="F115" t="s">
        <v>23</v>
      </c>
      <c r="G115" t="s">
        <v>35</v>
      </c>
      <c r="H115" t="s">
        <v>234</v>
      </c>
      <c r="I115">
        <v>4051</v>
      </c>
      <c r="J115">
        <v>51.2</v>
      </c>
      <c r="K115">
        <v>207411.2</v>
      </c>
      <c r="L115">
        <v>243</v>
      </c>
      <c r="M115">
        <v>7696.9</v>
      </c>
      <c r="N115">
        <v>6388.427</v>
      </c>
      <c r="O115">
        <v>306.18</v>
      </c>
      <c r="P115" t="s">
        <v>24</v>
      </c>
      <c r="Q115" t="s">
        <v>28</v>
      </c>
      <c r="R115" t="s">
        <v>518</v>
      </c>
      <c r="S115" t="s">
        <v>30</v>
      </c>
    </row>
    <row r="116" spans="1:19">
      <c r="A116">
        <v>100114</v>
      </c>
      <c r="B116" t="s">
        <v>519</v>
      </c>
      <c r="C116" t="s">
        <v>520</v>
      </c>
      <c r="D116" t="s">
        <v>521</v>
      </c>
      <c r="E116" t="s">
        <v>76</v>
      </c>
      <c r="F116" t="s">
        <v>23</v>
      </c>
      <c r="G116" t="s">
        <v>50</v>
      </c>
      <c r="H116" t="s">
        <v>232</v>
      </c>
      <c r="I116">
        <v>4446</v>
      </c>
      <c r="J116">
        <v>29.6</v>
      </c>
      <c r="K116">
        <v>131601.6</v>
      </c>
      <c r="L116">
        <v>400</v>
      </c>
      <c r="M116">
        <v>2667.6</v>
      </c>
      <c r="N116">
        <v>2294.136</v>
      </c>
      <c r="O116">
        <v>372</v>
      </c>
      <c r="P116" t="s">
        <v>24</v>
      </c>
      <c r="Q116" t="s">
        <v>36</v>
      </c>
      <c r="R116" t="s">
        <v>522</v>
      </c>
      <c r="S116" t="s">
        <v>55</v>
      </c>
    </row>
    <row r="117" spans="1:19">
      <c r="A117">
        <v>100115</v>
      </c>
      <c r="B117" t="s">
        <v>523</v>
      </c>
      <c r="C117" t="s">
        <v>524</v>
      </c>
      <c r="D117" t="s">
        <v>525</v>
      </c>
      <c r="E117" t="s">
        <v>48</v>
      </c>
      <c r="F117" t="s">
        <v>23</v>
      </c>
      <c r="G117" t="s">
        <v>87</v>
      </c>
      <c r="H117" t="s">
        <v>118</v>
      </c>
      <c r="I117">
        <v>2608</v>
      </c>
      <c r="J117">
        <v>79.6</v>
      </c>
      <c r="K117">
        <v>207596.8</v>
      </c>
      <c r="L117">
        <v>261</v>
      </c>
      <c r="M117">
        <v>6259.2</v>
      </c>
      <c r="N117">
        <v>5320.32</v>
      </c>
      <c r="O117">
        <v>459.36</v>
      </c>
      <c r="P117" t="s">
        <v>24</v>
      </c>
      <c r="Q117" t="s">
        <v>36</v>
      </c>
      <c r="R117" t="s">
        <v>526</v>
      </c>
      <c r="S117" t="s">
        <v>31</v>
      </c>
    </row>
    <row r="118" spans="1:19">
      <c r="A118">
        <v>100116</v>
      </c>
      <c r="B118" t="s">
        <v>527</v>
      </c>
      <c r="C118" t="s">
        <v>528</v>
      </c>
      <c r="D118" t="s">
        <v>529</v>
      </c>
      <c r="E118" t="s">
        <v>62</v>
      </c>
      <c r="F118" t="s">
        <v>23</v>
      </c>
      <c r="G118" t="s">
        <v>50</v>
      </c>
      <c r="H118" t="s">
        <v>199</v>
      </c>
      <c r="I118">
        <v>4275</v>
      </c>
      <c r="J118">
        <v>74.3</v>
      </c>
      <c r="K118">
        <v>317632.5</v>
      </c>
      <c r="L118">
        <v>214</v>
      </c>
      <c r="M118">
        <v>14107.5</v>
      </c>
      <c r="N118">
        <v>11709.225</v>
      </c>
      <c r="O118">
        <v>250.38</v>
      </c>
      <c r="P118" t="s">
        <v>24</v>
      </c>
      <c r="Q118" t="s">
        <v>28</v>
      </c>
      <c r="R118" t="s">
        <v>530</v>
      </c>
      <c r="S118" t="s">
        <v>55</v>
      </c>
    </row>
    <row r="119" spans="1:19">
      <c r="A119">
        <v>100116</v>
      </c>
      <c r="B119" t="s">
        <v>527</v>
      </c>
      <c r="C119" t="s">
        <v>528</v>
      </c>
      <c r="D119" t="s">
        <v>529</v>
      </c>
      <c r="E119" t="s">
        <v>73</v>
      </c>
      <c r="F119" t="s">
        <v>23</v>
      </c>
      <c r="G119" t="s">
        <v>50</v>
      </c>
      <c r="H119" t="s">
        <v>135</v>
      </c>
      <c r="I119">
        <v>2559</v>
      </c>
      <c r="J119">
        <v>80.1</v>
      </c>
      <c r="K119">
        <v>204975.9</v>
      </c>
      <c r="L119">
        <v>179</v>
      </c>
      <c r="M119">
        <v>3582.6</v>
      </c>
      <c r="N119">
        <v>2901.906</v>
      </c>
      <c r="O119">
        <v>148.57</v>
      </c>
      <c r="P119" t="s">
        <v>24</v>
      </c>
      <c r="Q119" t="s">
        <v>28</v>
      </c>
      <c r="R119" t="s">
        <v>530</v>
      </c>
      <c r="S119" t="s">
        <v>55</v>
      </c>
    </row>
    <row r="120" spans="1:19">
      <c r="A120">
        <v>100118</v>
      </c>
      <c r="B120" t="s">
        <v>531</v>
      </c>
      <c r="C120" t="s">
        <v>532</v>
      </c>
      <c r="D120" t="s">
        <v>533</v>
      </c>
      <c r="E120" t="s">
        <v>48</v>
      </c>
      <c r="F120" t="s">
        <v>23</v>
      </c>
      <c r="G120" t="s">
        <v>93</v>
      </c>
      <c r="H120" t="s">
        <v>172</v>
      </c>
      <c r="I120">
        <v>726</v>
      </c>
      <c r="J120">
        <v>64.6</v>
      </c>
      <c r="K120">
        <v>46899.6</v>
      </c>
      <c r="L120">
        <v>87</v>
      </c>
      <c r="M120">
        <v>2904</v>
      </c>
      <c r="N120">
        <v>2468.4</v>
      </c>
      <c r="O120">
        <v>129.63</v>
      </c>
      <c r="P120" t="s">
        <v>24</v>
      </c>
      <c r="Q120" t="s">
        <v>28</v>
      </c>
      <c r="R120" t="s">
        <v>534</v>
      </c>
      <c r="S120" t="s">
        <v>30</v>
      </c>
    </row>
    <row r="121" spans="1:19">
      <c r="A121">
        <v>100119</v>
      </c>
      <c r="B121" t="s">
        <v>535</v>
      </c>
      <c r="C121" t="s">
        <v>536</v>
      </c>
      <c r="D121" t="s">
        <v>537</v>
      </c>
      <c r="E121" t="s">
        <v>83</v>
      </c>
      <c r="F121" t="s">
        <v>23</v>
      </c>
      <c r="G121" t="s">
        <v>103</v>
      </c>
      <c r="H121" t="s">
        <v>112</v>
      </c>
      <c r="I121">
        <v>2055</v>
      </c>
      <c r="J121">
        <v>40.4</v>
      </c>
      <c r="K121">
        <v>83022</v>
      </c>
      <c r="L121">
        <v>164</v>
      </c>
      <c r="M121">
        <v>4932</v>
      </c>
      <c r="N121">
        <v>4290.84</v>
      </c>
      <c r="O121">
        <v>188.6</v>
      </c>
      <c r="P121" t="s">
        <v>24</v>
      </c>
      <c r="Q121" t="s">
        <v>36</v>
      </c>
      <c r="R121" t="s">
        <v>538</v>
      </c>
      <c r="S121" t="s">
        <v>85</v>
      </c>
    </row>
    <row r="122" spans="1:19">
      <c r="A122">
        <v>100120</v>
      </c>
      <c r="B122" t="s">
        <v>539</v>
      </c>
      <c r="C122" t="s">
        <v>540</v>
      </c>
      <c r="D122" t="s">
        <v>541</v>
      </c>
      <c r="E122" t="s">
        <v>79</v>
      </c>
      <c r="F122" t="s">
        <v>23</v>
      </c>
      <c r="G122" t="s">
        <v>50</v>
      </c>
      <c r="H122" t="s">
        <v>153</v>
      </c>
      <c r="I122">
        <v>2874</v>
      </c>
      <c r="J122">
        <v>7.2</v>
      </c>
      <c r="K122">
        <v>20692.8</v>
      </c>
      <c r="L122">
        <v>316</v>
      </c>
      <c r="M122">
        <v>4885.8</v>
      </c>
      <c r="N122">
        <v>4299.504</v>
      </c>
      <c r="O122">
        <v>322.32</v>
      </c>
      <c r="P122" t="s">
        <v>24</v>
      </c>
      <c r="Q122" t="s">
        <v>28</v>
      </c>
      <c r="R122" t="s">
        <v>542</v>
      </c>
      <c r="S122" t="s">
        <v>55</v>
      </c>
    </row>
    <row r="123" spans="1:19">
      <c r="A123">
        <v>100121</v>
      </c>
      <c r="B123" t="s">
        <v>543</v>
      </c>
      <c r="C123" t="s">
        <v>544</v>
      </c>
      <c r="D123" t="s">
        <v>545</v>
      </c>
      <c r="E123" t="s">
        <v>83</v>
      </c>
      <c r="F123" t="s">
        <v>23</v>
      </c>
      <c r="G123" t="s">
        <v>78</v>
      </c>
      <c r="H123" t="s">
        <v>315</v>
      </c>
      <c r="I123">
        <v>2255</v>
      </c>
      <c r="J123">
        <v>76.4</v>
      </c>
      <c r="K123">
        <v>172282</v>
      </c>
      <c r="L123">
        <v>158</v>
      </c>
      <c r="M123">
        <v>8794.5</v>
      </c>
      <c r="N123">
        <v>7387.38</v>
      </c>
      <c r="O123">
        <v>205.4</v>
      </c>
      <c r="P123" t="s">
        <v>24</v>
      </c>
      <c r="Q123" t="s">
        <v>28</v>
      </c>
      <c r="R123" t="s">
        <v>546</v>
      </c>
      <c r="S123" t="s">
        <v>84</v>
      </c>
    </row>
    <row r="124" spans="1:19">
      <c r="A124">
        <v>100122</v>
      </c>
      <c r="B124" t="s">
        <v>547</v>
      </c>
      <c r="C124" t="s">
        <v>548</v>
      </c>
      <c r="D124" t="s">
        <v>549</v>
      </c>
      <c r="E124" t="s">
        <v>94</v>
      </c>
      <c r="F124" t="s">
        <v>23</v>
      </c>
      <c r="G124" t="s">
        <v>69</v>
      </c>
      <c r="H124" t="s">
        <v>112</v>
      </c>
      <c r="I124">
        <v>3863</v>
      </c>
      <c r="J124">
        <v>57.3</v>
      </c>
      <c r="K124">
        <v>221349.9</v>
      </c>
      <c r="L124">
        <v>309</v>
      </c>
      <c r="M124">
        <v>9657.5</v>
      </c>
      <c r="N124">
        <v>8402.025</v>
      </c>
      <c r="O124">
        <v>281.19</v>
      </c>
      <c r="P124" t="s">
        <v>24</v>
      </c>
      <c r="Q124" t="s">
        <v>42</v>
      </c>
      <c r="R124" t="s">
        <v>550</v>
      </c>
      <c r="S124" t="s">
        <v>85</v>
      </c>
    </row>
    <row r="125" spans="1:19">
      <c r="A125">
        <v>100123</v>
      </c>
      <c r="B125" t="s">
        <v>551</v>
      </c>
      <c r="C125" t="s">
        <v>552</v>
      </c>
      <c r="D125" t="s">
        <v>553</v>
      </c>
      <c r="E125" t="s">
        <v>94</v>
      </c>
      <c r="F125" t="s">
        <v>23</v>
      </c>
      <c r="G125" t="s">
        <v>110</v>
      </c>
      <c r="H125" t="s">
        <v>172</v>
      </c>
      <c r="I125">
        <v>3116</v>
      </c>
      <c r="J125">
        <v>19</v>
      </c>
      <c r="K125">
        <v>59204</v>
      </c>
      <c r="L125">
        <v>187</v>
      </c>
      <c r="M125">
        <v>11217.6</v>
      </c>
      <c r="N125">
        <v>9422.784</v>
      </c>
      <c r="O125">
        <v>336.6</v>
      </c>
      <c r="P125" t="s">
        <v>24</v>
      </c>
      <c r="Q125" t="s">
        <v>28</v>
      </c>
      <c r="R125" t="s">
        <v>554</v>
      </c>
      <c r="S125" t="s">
        <v>85</v>
      </c>
    </row>
    <row r="126" spans="1:19">
      <c r="A126">
        <v>100124</v>
      </c>
      <c r="B126" t="s">
        <v>555</v>
      </c>
      <c r="C126" t="s">
        <v>556</v>
      </c>
      <c r="D126" t="s">
        <v>557</v>
      </c>
      <c r="E126" t="s">
        <v>88</v>
      </c>
      <c r="F126" t="s">
        <v>23</v>
      </c>
      <c r="G126" t="s">
        <v>93</v>
      </c>
      <c r="H126" t="s">
        <v>139</v>
      </c>
      <c r="I126">
        <v>3053</v>
      </c>
      <c r="J126">
        <v>11.6</v>
      </c>
      <c r="K126">
        <v>35414.8</v>
      </c>
      <c r="L126">
        <v>458</v>
      </c>
      <c r="M126">
        <v>3053</v>
      </c>
      <c r="N126">
        <v>2717.17</v>
      </c>
      <c r="O126">
        <v>435.1</v>
      </c>
      <c r="P126" t="s">
        <v>24</v>
      </c>
      <c r="Q126" t="s">
        <v>36</v>
      </c>
      <c r="R126" t="s">
        <v>558</v>
      </c>
      <c r="S126" t="s">
        <v>67</v>
      </c>
    </row>
    <row r="127" spans="1:19">
      <c r="A127">
        <v>100125</v>
      </c>
      <c r="B127" t="s">
        <v>559</v>
      </c>
      <c r="C127" t="s">
        <v>560</v>
      </c>
      <c r="D127" t="s">
        <v>561</v>
      </c>
      <c r="E127" t="s">
        <v>48</v>
      </c>
      <c r="F127" t="s">
        <v>23</v>
      </c>
      <c r="G127" t="s">
        <v>27</v>
      </c>
      <c r="H127" t="s">
        <v>114</v>
      </c>
      <c r="I127">
        <v>4562</v>
      </c>
      <c r="J127">
        <v>19.6</v>
      </c>
      <c r="K127">
        <v>89415.2</v>
      </c>
      <c r="L127">
        <v>411</v>
      </c>
      <c r="M127">
        <v>13686</v>
      </c>
      <c r="N127">
        <v>12043.68</v>
      </c>
      <c r="O127">
        <v>328.8</v>
      </c>
      <c r="P127" t="s">
        <v>24</v>
      </c>
      <c r="Q127" t="s">
        <v>28</v>
      </c>
      <c r="R127" t="s">
        <v>562</v>
      </c>
      <c r="S127" t="s">
        <v>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7"/>
  <sheetViews>
    <sheetView workbookViewId="0">
      <selection activeCell="I30" sqref="I30"/>
    </sheetView>
  </sheetViews>
  <sheetFormatPr defaultColWidth="9" defaultRowHeight="13.8"/>
  <cols>
    <col min="6" max="6" width="11" customWidth="1"/>
    <col min="8" max="8" width="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563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6">
        <v>44075</v>
      </c>
      <c r="B2">
        <v>100001</v>
      </c>
      <c r="C2" t="s">
        <v>20</v>
      </c>
      <c r="D2" t="s">
        <v>21</v>
      </c>
      <c r="E2" t="s">
        <v>22</v>
      </c>
      <c r="F2" t="s">
        <v>54</v>
      </c>
      <c r="G2" t="s">
        <v>23</v>
      </c>
      <c r="H2" t="s">
        <v>90</v>
      </c>
      <c r="I2" t="s">
        <v>112</v>
      </c>
      <c r="J2">
        <v>1309</v>
      </c>
      <c r="K2">
        <v>12.3</v>
      </c>
      <c r="L2">
        <v>16100.7</v>
      </c>
    </row>
    <row r="3" spans="1:12">
      <c r="A3" s="6">
        <v>44075</v>
      </c>
      <c r="B3">
        <v>100001</v>
      </c>
      <c r="C3" t="s">
        <v>20</v>
      </c>
      <c r="D3" t="s">
        <v>21</v>
      </c>
      <c r="E3" t="s">
        <v>22</v>
      </c>
      <c r="F3" t="s">
        <v>37</v>
      </c>
      <c r="G3" t="s">
        <v>23</v>
      </c>
      <c r="H3" t="s">
        <v>90</v>
      </c>
      <c r="I3" t="s">
        <v>114</v>
      </c>
      <c r="J3">
        <v>3545</v>
      </c>
      <c r="K3">
        <v>23.6</v>
      </c>
      <c r="L3">
        <v>83662</v>
      </c>
    </row>
    <row r="4" spans="1:12">
      <c r="A4" s="6">
        <v>44075</v>
      </c>
      <c r="B4">
        <v>100002</v>
      </c>
      <c r="C4" t="s">
        <v>115</v>
      </c>
      <c r="D4" t="s">
        <v>116</v>
      </c>
      <c r="E4" t="s">
        <v>117</v>
      </c>
      <c r="F4" t="s">
        <v>43</v>
      </c>
      <c r="G4" t="s">
        <v>23</v>
      </c>
      <c r="H4" t="s">
        <v>75</v>
      </c>
      <c r="I4" t="s">
        <v>118</v>
      </c>
      <c r="J4">
        <v>1544</v>
      </c>
      <c r="K4">
        <v>27.2</v>
      </c>
      <c r="L4">
        <v>41996.8</v>
      </c>
    </row>
    <row r="5" spans="1:12">
      <c r="A5" s="6">
        <v>44075</v>
      </c>
      <c r="B5">
        <v>100003</v>
      </c>
      <c r="C5" t="s">
        <v>120</v>
      </c>
      <c r="D5" t="s">
        <v>121</v>
      </c>
      <c r="E5" t="s">
        <v>122</v>
      </c>
      <c r="F5" t="s">
        <v>43</v>
      </c>
      <c r="G5" t="s">
        <v>23</v>
      </c>
      <c r="H5" t="s">
        <v>35</v>
      </c>
      <c r="I5" t="s">
        <v>123</v>
      </c>
      <c r="J5">
        <v>3389</v>
      </c>
      <c r="K5">
        <v>71.7</v>
      </c>
      <c r="L5">
        <v>242991.3</v>
      </c>
    </row>
    <row r="6" spans="1:12">
      <c r="A6" s="6">
        <v>44075</v>
      </c>
      <c r="B6">
        <v>100004</v>
      </c>
      <c r="C6" t="s">
        <v>125</v>
      </c>
      <c r="D6" t="s">
        <v>126</v>
      </c>
      <c r="E6" t="s">
        <v>127</v>
      </c>
      <c r="F6" t="s">
        <v>48</v>
      </c>
      <c r="G6" t="s">
        <v>23</v>
      </c>
      <c r="H6" t="s">
        <v>58</v>
      </c>
      <c r="I6" t="s">
        <v>128</v>
      </c>
      <c r="J6">
        <v>2457</v>
      </c>
      <c r="K6">
        <v>54.6</v>
      </c>
      <c r="L6">
        <v>134152.2</v>
      </c>
    </row>
    <row r="7" spans="1:12">
      <c r="A7" s="6">
        <v>44075</v>
      </c>
      <c r="B7">
        <v>100005</v>
      </c>
      <c r="C7" t="s">
        <v>130</v>
      </c>
      <c r="D7" t="s">
        <v>131</v>
      </c>
      <c r="E7" t="s">
        <v>132</v>
      </c>
      <c r="F7" t="s">
        <v>29</v>
      </c>
      <c r="G7" t="s">
        <v>23</v>
      </c>
      <c r="H7" t="s">
        <v>27</v>
      </c>
      <c r="I7" t="s">
        <v>118</v>
      </c>
      <c r="J7">
        <v>4350</v>
      </c>
      <c r="K7">
        <v>88.8</v>
      </c>
      <c r="L7">
        <v>386280</v>
      </c>
    </row>
    <row r="8" spans="1:12">
      <c r="A8" s="6">
        <v>44075</v>
      </c>
      <c r="B8">
        <v>100005</v>
      </c>
      <c r="C8" t="s">
        <v>130</v>
      </c>
      <c r="D8" t="s">
        <v>131</v>
      </c>
      <c r="E8" t="s">
        <v>132</v>
      </c>
      <c r="F8" t="s">
        <v>43</v>
      </c>
      <c r="G8" t="s">
        <v>23</v>
      </c>
      <c r="H8" t="s">
        <v>27</v>
      </c>
      <c r="I8" t="s">
        <v>134</v>
      </c>
      <c r="J8">
        <v>4819</v>
      </c>
      <c r="K8">
        <v>30.2</v>
      </c>
      <c r="L8">
        <v>145533.8</v>
      </c>
    </row>
    <row r="9" spans="1:12">
      <c r="A9" s="6">
        <v>44075</v>
      </c>
      <c r="B9">
        <v>100005</v>
      </c>
      <c r="C9" t="s">
        <v>130</v>
      </c>
      <c r="D9" t="s">
        <v>131</v>
      </c>
      <c r="E9" t="s">
        <v>132</v>
      </c>
      <c r="F9" t="s">
        <v>79</v>
      </c>
      <c r="G9" t="s">
        <v>23</v>
      </c>
      <c r="H9" t="s">
        <v>27</v>
      </c>
      <c r="I9" t="s">
        <v>135</v>
      </c>
      <c r="J9">
        <v>740</v>
      </c>
      <c r="K9">
        <v>46.2</v>
      </c>
      <c r="L9">
        <v>34188</v>
      </c>
    </row>
    <row r="10" spans="1:12">
      <c r="A10" s="6">
        <v>44075</v>
      </c>
      <c r="B10">
        <v>100008</v>
      </c>
      <c r="C10" t="s">
        <v>136</v>
      </c>
      <c r="D10" t="s">
        <v>137</v>
      </c>
      <c r="E10" t="s">
        <v>138</v>
      </c>
      <c r="F10" t="s">
        <v>43</v>
      </c>
      <c r="G10" t="s">
        <v>23</v>
      </c>
      <c r="H10" t="s">
        <v>27</v>
      </c>
      <c r="I10" t="s">
        <v>139</v>
      </c>
      <c r="J10">
        <v>1491</v>
      </c>
      <c r="K10">
        <v>75.6</v>
      </c>
      <c r="L10">
        <v>112719.6</v>
      </c>
    </row>
    <row r="11" spans="1:12">
      <c r="A11" s="6">
        <v>44075</v>
      </c>
      <c r="B11">
        <v>100009</v>
      </c>
      <c r="C11" t="s">
        <v>141</v>
      </c>
      <c r="D11" t="s">
        <v>142</v>
      </c>
      <c r="E11" t="s">
        <v>143</v>
      </c>
      <c r="F11" t="s">
        <v>37</v>
      </c>
      <c r="G11" t="s">
        <v>23</v>
      </c>
      <c r="H11" t="s">
        <v>105</v>
      </c>
      <c r="I11" t="s">
        <v>128</v>
      </c>
      <c r="J11">
        <v>960</v>
      </c>
      <c r="K11">
        <v>36</v>
      </c>
      <c r="L11">
        <v>34560</v>
      </c>
    </row>
    <row r="12" spans="1:12">
      <c r="A12" s="6">
        <v>44075</v>
      </c>
      <c r="B12">
        <v>100010</v>
      </c>
      <c r="C12" t="s">
        <v>145</v>
      </c>
      <c r="D12" t="s">
        <v>146</v>
      </c>
      <c r="E12" t="s">
        <v>147</v>
      </c>
      <c r="F12" t="s">
        <v>83</v>
      </c>
      <c r="G12" t="s">
        <v>23</v>
      </c>
      <c r="H12" t="s">
        <v>96</v>
      </c>
      <c r="I12" t="s">
        <v>148</v>
      </c>
      <c r="J12">
        <v>190</v>
      </c>
      <c r="K12">
        <v>9.9</v>
      </c>
      <c r="L12">
        <v>1881</v>
      </c>
    </row>
    <row r="13" spans="1:12">
      <c r="A13" s="6">
        <v>44075</v>
      </c>
      <c r="B13">
        <v>100011</v>
      </c>
      <c r="C13" t="s">
        <v>150</v>
      </c>
      <c r="D13" t="s">
        <v>151</v>
      </c>
      <c r="E13" t="s">
        <v>152</v>
      </c>
      <c r="F13" t="s">
        <v>88</v>
      </c>
      <c r="G13" t="s">
        <v>23</v>
      </c>
      <c r="H13" t="s">
        <v>47</v>
      </c>
      <c r="I13" t="s">
        <v>153</v>
      </c>
      <c r="J13">
        <v>1591</v>
      </c>
      <c r="K13">
        <v>39.8</v>
      </c>
      <c r="L13">
        <v>63321.8</v>
      </c>
    </row>
    <row r="14" spans="1:12">
      <c r="A14" s="6">
        <v>44075</v>
      </c>
      <c r="B14">
        <v>100012</v>
      </c>
      <c r="C14" t="s">
        <v>155</v>
      </c>
      <c r="D14" t="s">
        <v>156</v>
      </c>
      <c r="E14" t="s">
        <v>157</v>
      </c>
      <c r="F14" t="s">
        <v>88</v>
      </c>
      <c r="G14" t="s">
        <v>23</v>
      </c>
      <c r="H14" t="s">
        <v>58</v>
      </c>
      <c r="I14" t="s">
        <v>123</v>
      </c>
      <c r="J14">
        <v>3527</v>
      </c>
      <c r="K14">
        <v>91.3</v>
      </c>
      <c r="L14">
        <v>322015.1</v>
      </c>
    </row>
    <row r="15" spans="1:12">
      <c r="A15" s="6">
        <v>44075</v>
      </c>
      <c r="B15">
        <v>100013</v>
      </c>
      <c r="C15" t="s">
        <v>159</v>
      </c>
      <c r="D15" t="s">
        <v>160</v>
      </c>
      <c r="E15" t="s">
        <v>161</v>
      </c>
      <c r="F15" t="s">
        <v>43</v>
      </c>
      <c r="G15" t="s">
        <v>23</v>
      </c>
      <c r="H15" t="s">
        <v>80</v>
      </c>
      <c r="I15" t="s">
        <v>162</v>
      </c>
      <c r="J15">
        <v>2824</v>
      </c>
      <c r="K15">
        <v>95.3</v>
      </c>
      <c r="L15">
        <v>269127.2</v>
      </c>
    </row>
    <row r="16" spans="1:12">
      <c r="A16" s="6">
        <v>44075</v>
      </c>
      <c r="B16">
        <v>100014</v>
      </c>
      <c r="C16" t="s">
        <v>164</v>
      </c>
      <c r="D16" t="s">
        <v>165</v>
      </c>
      <c r="E16" t="s">
        <v>166</v>
      </c>
      <c r="F16" t="s">
        <v>43</v>
      </c>
      <c r="G16" t="s">
        <v>23</v>
      </c>
      <c r="H16" t="s">
        <v>69</v>
      </c>
      <c r="I16" t="s">
        <v>112</v>
      </c>
      <c r="J16">
        <v>4809</v>
      </c>
      <c r="K16">
        <v>60.6</v>
      </c>
      <c r="L16">
        <v>291425.4</v>
      </c>
    </row>
    <row r="17" spans="1:12">
      <c r="A17" s="6">
        <v>44075</v>
      </c>
      <c r="B17">
        <v>100015</v>
      </c>
      <c r="C17" t="s">
        <v>168</v>
      </c>
      <c r="D17" t="s">
        <v>169</v>
      </c>
      <c r="E17" t="s">
        <v>170</v>
      </c>
      <c r="F17" t="s">
        <v>51</v>
      </c>
      <c r="G17" t="s">
        <v>23</v>
      </c>
      <c r="H17" t="s">
        <v>69</v>
      </c>
      <c r="I17" t="s">
        <v>148</v>
      </c>
      <c r="J17">
        <v>1688</v>
      </c>
      <c r="K17">
        <v>19.1</v>
      </c>
      <c r="L17">
        <v>32240.8</v>
      </c>
    </row>
    <row r="18" spans="1:12">
      <c r="A18" s="6">
        <v>44075</v>
      </c>
      <c r="B18">
        <v>100015</v>
      </c>
      <c r="C18" t="s">
        <v>168</v>
      </c>
      <c r="D18" t="s">
        <v>169</v>
      </c>
      <c r="E18" t="s">
        <v>170</v>
      </c>
      <c r="F18" t="s">
        <v>88</v>
      </c>
      <c r="G18" t="s">
        <v>23</v>
      </c>
      <c r="H18" t="s">
        <v>69</v>
      </c>
      <c r="I18" t="s">
        <v>172</v>
      </c>
      <c r="J18">
        <v>4164</v>
      </c>
      <c r="K18">
        <v>99.8</v>
      </c>
      <c r="L18">
        <v>415567.2</v>
      </c>
    </row>
    <row r="19" spans="1:12">
      <c r="A19" s="6">
        <v>44075</v>
      </c>
      <c r="B19">
        <v>100017</v>
      </c>
      <c r="C19" t="s">
        <v>173</v>
      </c>
      <c r="D19" t="s">
        <v>174</v>
      </c>
      <c r="E19" t="s">
        <v>175</v>
      </c>
      <c r="F19" t="s">
        <v>54</v>
      </c>
      <c r="G19" t="s">
        <v>23</v>
      </c>
      <c r="H19" t="s">
        <v>35</v>
      </c>
      <c r="I19" t="s">
        <v>134</v>
      </c>
      <c r="J19">
        <v>3624</v>
      </c>
      <c r="K19">
        <v>15</v>
      </c>
      <c r="L19">
        <v>54360</v>
      </c>
    </row>
    <row r="20" spans="1:12">
      <c r="A20" s="6">
        <v>44075</v>
      </c>
      <c r="B20">
        <v>100018</v>
      </c>
      <c r="C20" t="s">
        <v>177</v>
      </c>
      <c r="D20" t="s">
        <v>178</v>
      </c>
      <c r="E20" t="s">
        <v>179</v>
      </c>
      <c r="F20" t="s">
        <v>37</v>
      </c>
      <c r="G20" t="s">
        <v>23</v>
      </c>
      <c r="H20" t="s">
        <v>110</v>
      </c>
      <c r="I20" t="s">
        <v>180</v>
      </c>
      <c r="J20">
        <v>1704</v>
      </c>
      <c r="K20">
        <v>67.6</v>
      </c>
      <c r="L20">
        <v>115190.4</v>
      </c>
    </row>
    <row r="21" spans="1:12">
      <c r="A21" s="6">
        <v>44075</v>
      </c>
      <c r="B21">
        <v>100019</v>
      </c>
      <c r="C21" t="s">
        <v>182</v>
      </c>
      <c r="D21" t="s">
        <v>183</v>
      </c>
      <c r="E21" t="s">
        <v>184</v>
      </c>
      <c r="F21" t="s">
        <v>62</v>
      </c>
      <c r="G21" t="s">
        <v>23</v>
      </c>
      <c r="H21" t="s">
        <v>34</v>
      </c>
      <c r="I21" t="s">
        <v>180</v>
      </c>
      <c r="J21">
        <v>2724</v>
      </c>
      <c r="K21">
        <v>11.5</v>
      </c>
      <c r="L21">
        <v>31326</v>
      </c>
    </row>
    <row r="22" spans="1:12">
      <c r="A22" s="6">
        <v>44075</v>
      </c>
      <c r="B22">
        <v>100020</v>
      </c>
      <c r="C22" t="s">
        <v>186</v>
      </c>
      <c r="D22" t="s">
        <v>187</v>
      </c>
      <c r="E22" t="s">
        <v>188</v>
      </c>
      <c r="F22" t="s">
        <v>76</v>
      </c>
      <c r="G22" t="s">
        <v>23</v>
      </c>
      <c r="H22" t="s">
        <v>110</v>
      </c>
      <c r="I22" t="s">
        <v>189</v>
      </c>
      <c r="J22">
        <v>2102</v>
      </c>
      <c r="K22">
        <v>81.9</v>
      </c>
      <c r="L22">
        <v>172153.8</v>
      </c>
    </row>
    <row r="23" spans="1:12">
      <c r="A23" s="6">
        <v>44075</v>
      </c>
      <c r="B23">
        <v>100021</v>
      </c>
      <c r="C23" t="s">
        <v>191</v>
      </c>
      <c r="D23" t="s">
        <v>192</v>
      </c>
      <c r="E23" t="s">
        <v>193</v>
      </c>
      <c r="F23" t="s">
        <v>79</v>
      </c>
      <c r="G23" t="s">
        <v>23</v>
      </c>
      <c r="H23" t="s">
        <v>101</v>
      </c>
      <c r="I23" t="s">
        <v>194</v>
      </c>
      <c r="J23">
        <v>4600</v>
      </c>
      <c r="K23">
        <v>37.9</v>
      </c>
      <c r="L23">
        <v>174340</v>
      </c>
    </row>
    <row r="24" spans="1:12">
      <c r="A24" s="6">
        <v>44075</v>
      </c>
      <c r="B24">
        <v>100022</v>
      </c>
      <c r="C24" t="s">
        <v>196</v>
      </c>
      <c r="D24" t="s">
        <v>197</v>
      </c>
      <c r="E24" t="s">
        <v>198</v>
      </c>
      <c r="F24" t="s">
        <v>65</v>
      </c>
      <c r="G24" t="s">
        <v>23</v>
      </c>
      <c r="H24" t="s">
        <v>80</v>
      </c>
      <c r="I24" t="s">
        <v>199</v>
      </c>
      <c r="J24">
        <v>495</v>
      </c>
      <c r="K24">
        <v>27.6</v>
      </c>
      <c r="L24">
        <v>13662</v>
      </c>
    </row>
    <row r="25" spans="1:12">
      <c r="A25" s="6">
        <v>44075</v>
      </c>
      <c r="B25">
        <v>100023</v>
      </c>
      <c r="C25" t="s">
        <v>201</v>
      </c>
      <c r="D25" t="s">
        <v>202</v>
      </c>
      <c r="E25" t="s">
        <v>203</v>
      </c>
      <c r="F25" t="s">
        <v>79</v>
      </c>
      <c r="G25" t="s">
        <v>23</v>
      </c>
      <c r="H25" t="s">
        <v>90</v>
      </c>
      <c r="I25" t="s">
        <v>204</v>
      </c>
      <c r="J25">
        <v>1838</v>
      </c>
      <c r="K25">
        <v>36.8</v>
      </c>
      <c r="L25">
        <v>67638.4</v>
      </c>
    </row>
    <row r="26" spans="1:12">
      <c r="A26" s="6">
        <v>44075</v>
      </c>
      <c r="B26">
        <v>100024</v>
      </c>
      <c r="C26" t="s">
        <v>206</v>
      </c>
      <c r="D26" t="s">
        <v>207</v>
      </c>
      <c r="E26" t="s">
        <v>208</v>
      </c>
      <c r="F26" t="s">
        <v>65</v>
      </c>
      <c r="G26" t="s">
        <v>23</v>
      </c>
      <c r="H26" t="s">
        <v>80</v>
      </c>
      <c r="I26" t="s">
        <v>135</v>
      </c>
      <c r="J26">
        <v>3506</v>
      </c>
      <c r="K26">
        <v>76.3</v>
      </c>
      <c r="L26">
        <v>267507.8</v>
      </c>
    </row>
    <row r="27" spans="1:12">
      <c r="A27" s="6">
        <v>44075</v>
      </c>
      <c r="B27">
        <v>100025</v>
      </c>
      <c r="C27" t="s">
        <v>210</v>
      </c>
      <c r="D27" t="s">
        <v>211</v>
      </c>
      <c r="E27" t="s">
        <v>212</v>
      </c>
      <c r="F27" t="s">
        <v>88</v>
      </c>
      <c r="G27" t="s">
        <v>23</v>
      </c>
      <c r="H27" t="s">
        <v>78</v>
      </c>
      <c r="I27" t="s">
        <v>213</v>
      </c>
      <c r="J27">
        <v>2928</v>
      </c>
      <c r="K27">
        <v>9.7</v>
      </c>
      <c r="L27">
        <v>28401.6</v>
      </c>
    </row>
    <row r="28" spans="1:12">
      <c r="A28" s="6">
        <v>44075</v>
      </c>
      <c r="B28">
        <v>100026</v>
      </c>
      <c r="C28" t="s">
        <v>215</v>
      </c>
      <c r="D28" t="s">
        <v>216</v>
      </c>
      <c r="E28" t="s">
        <v>217</v>
      </c>
      <c r="F28" t="s">
        <v>83</v>
      </c>
      <c r="G28" t="s">
        <v>23</v>
      </c>
      <c r="H28" t="s">
        <v>27</v>
      </c>
      <c r="I28" t="s">
        <v>218</v>
      </c>
      <c r="J28">
        <v>2356</v>
      </c>
      <c r="K28">
        <v>11.7</v>
      </c>
      <c r="L28">
        <v>27565.2</v>
      </c>
    </row>
    <row r="29" spans="1:12">
      <c r="A29" s="6">
        <v>44075</v>
      </c>
      <c r="B29">
        <v>100027</v>
      </c>
      <c r="C29" t="s">
        <v>220</v>
      </c>
      <c r="D29" t="s">
        <v>221</v>
      </c>
      <c r="E29" t="s">
        <v>222</v>
      </c>
      <c r="F29" t="s">
        <v>83</v>
      </c>
      <c r="G29" t="s">
        <v>23</v>
      </c>
      <c r="H29" t="s">
        <v>64</v>
      </c>
      <c r="I29" t="s">
        <v>112</v>
      </c>
      <c r="J29">
        <v>1050</v>
      </c>
      <c r="K29">
        <v>59.7</v>
      </c>
      <c r="L29">
        <v>62685</v>
      </c>
    </row>
    <row r="30" spans="1:12">
      <c r="A30" s="6">
        <v>44075</v>
      </c>
      <c r="B30">
        <v>100028</v>
      </c>
      <c r="C30" t="s">
        <v>224</v>
      </c>
      <c r="D30" t="s">
        <v>225</v>
      </c>
      <c r="E30" t="s">
        <v>226</v>
      </c>
      <c r="F30" t="s">
        <v>83</v>
      </c>
      <c r="G30" t="s">
        <v>23</v>
      </c>
      <c r="H30" t="s">
        <v>41</v>
      </c>
      <c r="I30" t="s">
        <v>227</v>
      </c>
      <c r="J30">
        <v>4336</v>
      </c>
      <c r="K30">
        <v>98.1</v>
      </c>
      <c r="L30">
        <v>425361.6</v>
      </c>
    </row>
    <row r="31" spans="1:12">
      <c r="A31" s="6">
        <v>44075</v>
      </c>
      <c r="B31">
        <v>100029</v>
      </c>
      <c r="C31" t="s">
        <v>229</v>
      </c>
      <c r="D31" t="s">
        <v>230</v>
      </c>
      <c r="E31" t="s">
        <v>231</v>
      </c>
      <c r="F31" t="s">
        <v>79</v>
      </c>
      <c r="G31" t="s">
        <v>23</v>
      </c>
      <c r="H31" t="s">
        <v>72</v>
      </c>
      <c r="I31" t="s">
        <v>232</v>
      </c>
      <c r="J31">
        <v>4881</v>
      </c>
      <c r="K31">
        <v>94.3</v>
      </c>
      <c r="L31">
        <v>460278.3</v>
      </c>
    </row>
    <row r="32" spans="1:12">
      <c r="A32" s="6">
        <v>44075</v>
      </c>
      <c r="B32">
        <v>100029</v>
      </c>
      <c r="C32" t="s">
        <v>229</v>
      </c>
      <c r="D32" t="s">
        <v>230</v>
      </c>
      <c r="E32" t="s">
        <v>231</v>
      </c>
      <c r="F32" t="s">
        <v>83</v>
      </c>
      <c r="G32" t="s">
        <v>23</v>
      </c>
      <c r="H32" t="s">
        <v>72</v>
      </c>
      <c r="I32" t="s">
        <v>213</v>
      </c>
      <c r="J32">
        <v>3222</v>
      </c>
      <c r="K32">
        <v>76.7</v>
      </c>
      <c r="L32">
        <v>247127.4</v>
      </c>
    </row>
    <row r="33" spans="1:12">
      <c r="A33" s="6">
        <v>44075</v>
      </c>
      <c r="B33">
        <v>100029</v>
      </c>
      <c r="C33" t="s">
        <v>229</v>
      </c>
      <c r="D33" t="s">
        <v>230</v>
      </c>
      <c r="E33" t="s">
        <v>231</v>
      </c>
      <c r="F33" t="s">
        <v>94</v>
      </c>
      <c r="G33" t="s">
        <v>23</v>
      </c>
      <c r="H33" t="s">
        <v>72</v>
      </c>
      <c r="I33" t="s">
        <v>234</v>
      </c>
      <c r="J33">
        <v>4414</v>
      </c>
      <c r="K33">
        <v>99.4</v>
      </c>
      <c r="L33">
        <v>438751.6</v>
      </c>
    </row>
    <row r="34" spans="1:12">
      <c r="A34" s="6">
        <v>44075</v>
      </c>
      <c r="B34">
        <v>100029</v>
      </c>
      <c r="C34" t="s">
        <v>229</v>
      </c>
      <c r="D34" t="s">
        <v>230</v>
      </c>
      <c r="E34" t="s">
        <v>231</v>
      </c>
      <c r="F34" t="s">
        <v>29</v>
      </c>
      <c r="G34" t="s">
        <v>23</v>
      </c>
      <c r="H34" t="s">
        <v>72</v>
      </c>
      <c r="I34" t="s">
        <v>199</v>
      </c>
      <c r="J34">
        <v>3380</v>
      </c>
      <c r="K34">
        <v>66.8</v>
      </c>
      <c r="L34">
        <v>225784</v>
      </c>
    </row>
    <row r="35" spans="1:12">
      <c r="A35" s="6">
        <v>44075</v>
      </c>
      <c r="B35">
        <v>100033</v>
      </c>
      <c r="C35" t="s">
        <v>235</v>
      </c>
      <c r="D35" t="s">
        <v>236</v>
      </c>
      <c r="E35" t="s">
        <v>237</v>
      </c>
      <c r="F35" t="s">
        <v>73</v>
      </c>
      <c r="G35" t="s">
        <v>23</v>
      </c>
      <c r="H35" t="s">
        <v>80</v>
      </c>
      <c r="I35" t="s">
        <v>112</v>
      </c>
      <c r="J35">
        <v>2184</v>
      </c>
      <c r="K35">
        <v>93.9</v>
      </c>
      <c r="L35">
        <v>205077.6</v>
      </c>
    </row>
    <row r="36" spans="1:12">
      <c r="A36" s="6">
        <v>44075</v>
      </c>
      <c r="B36">
        <v>100034</v>
      </c>
      <c r="C36" t="s">
        <v>239</v>
      </c>
      <c r="D36" t="s">
        <v>240</v>
      </c>
      <c r="E36" t="s">
        <v>241</v>
      </c>
      <c r="F36" t="s">
        <v>51</v>
      </c>
      <c r="G36" t="s">
        <v>23</v>
      </c>
      <c r="H36" t="s">
        <v>61</v>
      </c>
      <c r="I36" t="s">
        <v>189</v>
      </c>
      <c r="J36">
        <v>2145</v>
      </c>
      <c r="K36">
        <v>66.4</v>
      </c>
      <c r="L36">
        <v>142428</v>
      </c>
    </row>
    <row r="37" spans="1:12">
      <c r="A37" s="6">
        <v>44075</v>
      </c>
      <c r="B37">
        <v>100035</v>
      </c>
      <c r="C37" t="s">
        <v>243</v>
      </c>
      <c r="D37" t="s">
        <v>244</v>
      </c>
      <c r="E37" t="s">
        <v>245</v>
      </c>
      <c r="F37" t="s">
        <v>94</v>
      </c>
      <c r="G37" t="s">
        <v>23</v>
      </c>
      <c r="H37" t="s">
        <v>82</v>
      </c>
      <c r="I37" t="s">
        <v>134</v>
      </c>
      <c r="J37">
        <v>118</v>
      </c>
      <c r="K37">
        <v>19.8</v>
      </c>
      <c r="L37">
        <v>2336.4</v>
      </c>
    </row>
    <row r="38" spans="1:12">
      <c r="A38" s="6">
        <v>44075</v>
      </c>
      <c r="B38">
        <v>100036</v>
      </c>
      <c r="C38" t="s">
        <v>247</v>
      </c>
      <c r="D38" t="s">
        <v>248</v>
      </c>
      <c r="E38" t="s">
        <v>249</v>
      </c>
      <c r="F38" t="s">
        <v>59</v>
      </c>
      <c r="G38" t="s">
        <v>23</v>
      </c>
      <c r="H38" t="s">
        <v>110</v>
      </c>
      <c r="I38" t="s">
        <v>134</v>
      </c>
      <c r="J38">
        <v>1331</v>
      </c>
      <c r="K38">
        <v>95.6</v>
      </c>
      <c r="L38">
        <v>127243.6</v>
      </c>
    </row>
    <row r="39" spans="1:12">
      <c r="A39" s="6">
        <v>44075</v>
      </c>
      <c r="B39">
        <v>100037</v>
      </c>
      <c r="C39" t="s">
        <v>251</v>
      </c>
      <c r="D39" t="s">
        <v>252</v>
      </c>
      <c r="E39" t="s">
        <v>253</v>
      </c>
      <c r="F39" t="s">
        <v>65</v>
      </c>
      <c r="G39" t="s">
        <v>23</v>
      </c>
      <c r="H39" t="s">
        <v>64</v>
      </c>
      <c r="I39" t="s">
        <v>232</v>
      </c>
      <c r="J39">
        <v>4095</v>
      </c>
      <c r="K39">
        <v>39</v>
      </c>
      <c r="L39">
        <v>159705</v>
      </c>
    </row>
    <row r="40" spans="1:12">
      <c r="A40" s="6">
        <v>44075</v>
      </c>
      <c r="B40">
        <v>100038</v>
      </c>
      <c r="C40" t="s">
        <v>255</v>
      </c>
      <c r="D40" t="s">
        <v>256</v>
      </c>
      <c r="E40" t="s">
        <v>257</v>
      </c>
      <c r="F40" t="s">
        <v>54</v>
      </c>
      <c r="G40" t="s">
        <v>23</v>
      </c>
      <c r="H40" t="s">
        <v>78</v>
      </c>
      <c r="I40" t="s">
        <v>112</v>
      </c>
      <c r="J40">
        <v>1123</v>
      </c>
      <c r="K40">
        <v>23.3</v>
      </c>
      <c r="L40">
        <v>26165.9</v>
      </c>
    </row>
    <row r="41" spans="1:12">
      <c r="A41" s="6">
        <v>44075</v>
      </c>
      <c r="B41">
        <v>100039</v>
      </c>
      <c r="C41" t="s">
        <v>259</v>
      </c>
      <c r="D41" t="s">
        <v>260</v>
      </c>
      <c r="E41" t="s">
        <v>261</v>
      </c>
      <c r="F41" t="s">
        <v>62</v>
      </c>
      <c r="G41" t="s">
        <v>23</v>
      </c>
      <c r="H41" t="s">
        <v>69</v>
      </c>
      <c r="I41" t="s">
        <v>213</v>
      </c>
      <c r="J41">
        <v>2932</v>
      </c>
      <c r="K41">
        <v>24.5</v>
      </c>
      <c r="L41">
        <v>71834</v>
      </c>
    </row>
    <row r="42" spans="1:12">
      <c r="A42" s="6">
        <v>44075</v>
      </c>
      <c r="B42">
        <v>100039</v>
      </c>
      <c r="C42" t="s">
        <v>259</v>
      </c>
      <c r="D42" t="s">
        <v>260</v>
      </c>
      <c r="E42" t="s">
        <v>261</v>
      </c>
      <c r="F42" t="s">
        <v>94</v>
      </c>
      <c r="G42" t="s">
        <v>23</v>
      </c>
      <c r="H42" t="s">
        <v>69</v>
      </c>
      <c r="I42" t="s">
        <v>180</v>
      </c>
      <c r="J42">
        <v>1113</v>
      </c>
      <c r="K42">
        <v>89.9</v>
      </c>
      <c r="L42">
        <v>100058.7</v>
      </c>
    </row>
    <row r="43" spans="1:12">
      <c r="A43" s="6">
        <v>44075</v>
      </c>
      <c r="B43">
        <v>100041</v>
      </c>
      <c r="C43" t="s">
        <v>263</v>
      </c>
      <c r="D43" t="s">
        <v>264</v>
      </c>
      <c r="E43" t="s">
        <v>265</v>
      </c>
      <c r="F43" t="s">
        <v>65</v>
      </c>
      <c r="G43" t="s">
        <v>23</v>
      </c>
      <c r="H43" t="s">
        <v>27</v>
      </c>
      <c r="I43" t="s">
        <v>148</v>
      </c>
      <c r="J43">
        <v>4521</v>
      </c>
      <c r="K43">
        <v>60.1</v>
      </c>
      <c r="L43">
        <v>271712.1</v>
      </c>
    </row>
    <row r="44" spans="1:12">
      <c r="A44" s="6">
        <v>44075</v>
      </c>
      <c r="B44">
        <v>100042</v>
      </c>
      <c r="C44" t="s">
        <v>267</v>
      </c>
      <c r="D44" t="s">
        <v>268</v>
      </c>
      <c r="E44" t="s">
        <v>269</v>
      </c>
      <c r="F44" t="s">
        <v>81</v>
      </c>
      <c r="G44" t="s">
        <v>23</v>
      </c>
      <c r="H44" t="s">
        <v>90</v>
      </c>
      <c r="I44" t="s">
        <v>139</v>
      </c>
      <c r="J44">
        <v>111</v>
      </c>
      <c r="K44">
        <v>82.8</v>
      </c>
      <c r="L44">
        <v>9190.8</v>
      </c>
    </row>
    <row r="45" spans="1:12">
      <c r="A45" s="6">
        <v>44075</v>
      </c>
      <c r="B45">
        <v>100043</v>
      </c>
      <c r="C45" t="s">
        <v>271</v>
      </c>
      <c r="D45" t="s">
        <v>272</v>
      </c>
      <c r="E45" t="s">
        <v>273</v>
      </c>
      <c r="F45" t="s">
        <v>73</v>
      </c>
      <c r="G45" t="s">
        <v>23</v>
      </c>
      <c r="H45" t="s">
        <v>64</v>
      </c>
      <c r="I45" t="s">
        <v>274</v>
      </c>
      <c r="J45">
        <v>4959</v>
      </c>
      <c r="K45">
        <v>15.6</v>
      </c>
      <c r="L45">
        <v>77360.4</v>
      </c>
    </row>
    <row r="46" spans="1:12">
      <c r="A46" s="6">
        <v>44075</v>
      </c>
      <c r="B46">
        <v>100044</v>
      </c>
      <c r="C46" t="s">
        <v>276</v>
      </c>
      <c r="D46" t="s">
        <v>277</v>
      </c>
      <c r="E46" t="s">
        <v>278</v>
      </c>
      <c r="F46" t="s">
        <v>83</v>
      </c>
      <c r="G46" t="s">
        <v>23</v>
      </c>
      <c r="H46" t="s">
        <v>46</v>
      </c>
      <c r="I46" t="s">
        <v>135</v>
      </c>
      <c r="J46">
        <v>4806</v>
      </c>
      <c r="K46">
        <v>95.2</v>
      </c>
      <c r="L46">
        <v>457531.2</v>
      </c>
    </row>
    <row r="47" spans="1:12">
      <c r="A47" s="6">
        <v>44075</v>
      </c>
      <c r="B47">
        <v>100045</v>
      </c>
      <c r="C47" t="s">
        <v>280</v>
      </c>
      <c r="D47" t="s">
        <v>281</v>
      </c>
      <c r="E47" t="s">
        <v>282</v>
      </c>
      <c r="F47" t="s">
        <v>70</v>
      </c>
      <c r="G47" t="s">
        <v>23</v>
      </c>
      <c r="H47" t="s">
        <v>103</v>
      </c>
      <c r="I47" t="s">
        <v>227</v>
      </c>
      <c r="J47">
        <v>701</v>
      </c>
      <c r="K47">
        <v>33.4</v>
      </c>
      <c r="L47">
        <v>23413.4</v>
      </c>
    </row>
    <row r="48" spans="1:12">
      <c r="A48" s="6">
        <v>44075</v>
      </c>
      <c r="B48">
        <v>100045</v>
      </c>
      <c r="C48" t="s">
        <v>280</v>
      </c>
      <c r="D48" t="s">
        <v>281</v>
      </c>
      <c r="E48" t="s">
        <v>282</v>
      </c>
      <c r="F48" t="s">
        <v>79</v>
      </c>
      <c r="G48" t="s">
        <v>23</v>
      </c>
      <c r="H48" t="s">
        <v>103</v>
      </c>
      <c r="I48" t="s">
        <v>112</v>
      </c>
      <c r="J48">
        <v>3504</v>
      </c>
      <c r="K48">
        <v>95.4</v>
      </c>
      <c r="L48">
        <v>334281.6</v>
      </c>
    </row>
    <row r="49" spans="1:12">
      <c r="A49" s="6">
        <v>44075</v>
      </c>
      <c r="B49">
        <v>100047</v>
      </c>
      <c r="C49" t="s">
        <v>284</v>
      </c>
      <c r="D49" t="s">
        <v>285</v>
      </c>
      <c r="E49" t="s">
        <v>286</v>
      </c>
      <c r="F49" t="s">
        <v>65</v>
      </c>
      <c r="G49" t="s">
        <v>23</v>
      </c>
      <c r="H49" t="s">
        <v>58</v>
      </c>
      <c r="I49" t="s">
        <v>234</v>
      </c>
      <c r="J49">
        <v>4375</v>
      </c>
      <c r="K49">
        <v>18.7</v>
      </c>
      <c r="L49">
        <v>81812.5</v>
      </c>
    </row>
    <row r="50" spans="1:12">
      <c r="A50" s="6">
        <v>44075</v>
      </c>
      <c r="B50">
        <v>100048</v>
      </c>
      <c r="C50" t="s">
        <v>288</v>
      </c>
      <c r="D50" t="s">
        <v>289</v>
      </c>
      <c r="E50" t="s">
        <v>290</v>
      </c>
      <c r="F50" t="s">
        <v>94</v>
      </c>
      <c r="G50" t="s">
        <v>23</v>
      </c>
      <c r="H50" t="s">
        <v>98</v>
      </c>
      <c r="I50" t="s">
        <v>199</v>
      </c>
      <c r="J50">
        <v>2291</v>
      </c>
      <c r="K50">
        <v>22.9</v>
      </c>
      <c r="L50">
        <v>52463.9</v>
      </c>
    </row>
    <row r="51" spans="1:12">
      <c r="A51" s="6">
        <v>44075</v>
      </c>
      <c r="B51">
        <v>100049</v>
      </c>
      <c r="C51" t="s">
        <v>292</v>
      </c>
      <c r="D51" t="s">
        <v>293</v>
      </c>
      <c r="E51" t="s">
        <v>294</v>
      </c>
      <c r="F51" t="s">
        <v>37</v>
      </c>
      <c r="G51" t="s">
        <v>23</v>
      </c>
      <c r="H51" t="s">
        <v>98</v>
      </c>
      <c r="I51" t="s">
        <v>123</v>
      </c>
      <c r="J51">
        <v>4354</v>
      </c>
      <c r="K51">
        <v>88.4</v>
      </c>
      <c r="L51">
        <v>384893.6</v>
      </c>
    </row>
    <row r="52" spans="1:12">
      <c r="A52" s="6">
        <v>44075</v>
      </c>
      <c r="B52">
        <v>100050</v>
      </c>
      <c r="C52" t="s">
        <v>296</v>
      </c>
      <c r="D52" t="s">
        <v>297</v>
      </c>
      <c r="E52" t="s">
        <v>298</v>
      </c>
      <c r="F52" t="s">
        <v>83</v>
      </c>
      <c r="G52" t="s">
        <v>23</v>
      </c>
      <c r="H52" t="s">
        <v>75</v>
      </c>
      <c r="I52" t="s">
        <v>162</v>
      </c>
      <c r="J52">
        <v>2209</v>
      </c>
      <c r="K52">
        <v>35.1</v>
      </c>
      <c r="L52">
        <v>77535.9</v>
      </c>
    </row>
    <row r="53" spans="1:12">
      <c r="A53" s="6">
        <v>44075</v>
      </c>
      <c r="B53">
        <v>100050</v>
      </c>
      <c r="C53" t="s">
        <v>296</v>
      </c>
      <c r="D53" t="s">
        <v>297</v>
      </c>
      <c r="E53" t="s">
        <v>298</v>
      </c>
      <c r="F53" t="s">
        <v>59</v>
      </c>
      <c r="G53" t="s">
        <v>23</v>
      </c>
      <c r="H53" t="s">
        <v>75</v>
      </c>
      <c r="I53" t="s">
        <v>180</v>
      </c>
      <c r="J53">
        <v>1657</v>
      </c>
      <c r="K53">
        <v>43.7</v>
      </c>
      <c r="L53">
        <v>72410.9</v>
      </c>
    </row>
    <row r="54" spans="1:12">
      <c r="A54" s="6">
        <v>44075</v>
      </c>
      <c r="B54">
        <v>100052</v>
      </c>
      <c r="C54" t="s">
        <v>300</v>
      </c>
      <c r="D54" t="s">
        <v>301</v>
      </c>
      <c r="E54" t="s">
        <v>302</v>
      </c>
      <c r="F54" t="s">
        <v>79</v>
      </c>
      <c r="G54" t="s">
        <v>23</v>
      </c>
      <c r="H54" t="s">
        <v>34</v>
      </c>
      <c r="I54" t="s">
        <v>199</v>
      </c>
      <c r="J54">
        <v>1581</v>
      </c>
      <c r="K54">
        <v>54.1</v>
      </c>
      <c r="L54">
        <v>85532.1</v>
      </c>
    </row>
    <row r="55" spans="1:12">
      <c r="A55" s="6">
        <v>44075</v>
      </c>
      <c r="B55">
        <v>100053</v>
      </c>
      <c r="C55" t="s">
        <v>304</v>
      </c>
      <c r="D55" t="s">
        <v>305</v>
      </c>
      <c r="E55" t="s">
        <v>306</v>
      </c>
      <c r="F55" t="s">
        <v>76</v>
      </c>
      <c r="G55" t="s">
        <v>23</v>
      </c>
      <c r="H55" t="s">
        <v>105</v>
      </c>
      <c r="I55" t="s">
        <v>162</v>
      </c>
      <c r="J55">
        <v>2946</v>
      </c>
      <c r="K55">
        <v>23.6</v>
      </c>
      <c r="L55">
        <v>69525.6</v>
      </c>
    </row>
    <row r="56" spans="1:12">
      <c r="A56" s="6">
        <v>44075</v>
      </c>
      <c r="B56">
        <v>100054</v>
      </c>
      <c r="C56" t="s">
        <v>308</v>
      </c>
      <c r="D56" t="s">
        <v>309</v>
      </c>
      <c r="E56" t="s">
        <v>310</v>
      </c>
      <c r="F56" t="s">
        <v>70</v>
      </c>
      <c r="G56" t="s">
        <v>23</v>
      </c>
      <c r="H56" t="s">
        <v>96</v>
      </c>
      <c r="I56" t="s">
        <v>128</v>
      </c>
      <c r="J56">
        <v>4858</v>
      </c>
      <c r="K56">
        <v>10.6</v>
      </c>
      <c r="L56">
        <v>51494.8</v>
      </c>
    </row>
    <row r="57" spans="1:12">
      <c r="A57" s="6">
        <v>44075</v>
      </c>
      <c r="B57">
        <v>100055</v>
      </c>
      <c r="C57" t="s">
        <v>312</v>
      </c>
      <c r="D57" t="s">
        <v>313</v>
      </c>
      <c r="E57" t="s">
        <v>314</v>
      </c>
      <c r="F57" t="s">
        <v>70</v>
      </c>
      <c r="G57" t="s">
        <v>23</v>
      </c>
      <c r="H57" t="s">
        <v>35</v>
      </c>
      <c r="I57" t="s">
        <v>315</v>
      </c>
      <c r="J57">
        <v>1894</v>
      </c>
      <c r="K57">
        <v>28.4</v>
      </c>
      <c r="L57">
        <v>53789.6</v>
      </c>
    </row>
    <row r="58" spans="1:12">
      <c r="A58" s="6">
        <v>44075</v>
      </c>
      <c r="B58">
        <v>100056</v>
      </c>
      <c r="C58" t="s">
        <v>317</v>
      </c>
      <c r="D58" t="s">
        <v>318</v>
      </c>
      <c r="E58" t="s">
        <v>319</v>
      </c>
      <c r="F58" t="s">
        <v>29</v>
      </c>
      <c r="G58" t="s">
        <v>23</v>
      </c>
      <c r="H58" t="s">
        <v>72</v>
      </c>
      <c r="I58" t="s">
        <v>148</v>
      </c>
      <c r="J58">
        <v>4862</v>
      </c>
      <c r="K58">
        <v>95.9</v>
      </c>
      <c r="L58">
        <v>466265.8</v>
      </c>
    </row>
    <row r="59" spans="1:12">
      <c r="A59" s="6">
        <v>44075</v>
      </c>
      <c r="B59">
        <v>100057</v>
      </c>
      <c r="C59" t="s">
        <v>321</v>
      </c>
      <c r="D59" t="s">
        <v>322</v>
      </c>
      <c r="E59" t="s">
        <v>323</v>
      </c>
      <c r="F59" t="s">
        <v>51</v>
      </c>
      <c r="G59" t="s">
        <v>23</v>
      </c>
      <c r="H59" t="s">
        <v>87</v>
      </c>
      <c r="I59" t="s">
        <v>123</v>
      </c>
      <c r="J59">
        <v>4861</v>
      </c>
      <c r="K59">
        <v>66.3</v>
      </c>
      <c r="L59">
        <v>322284.3</v>
      </c>
    </row>
    <row r="60" spans="1:12">
      <c r="A60" s="6">
        <v>44075</v>
      </c>
      <c r="B60">
        <v>100057</v>
      </c>
      <c r="C60" t="s">
        <v>321</v>
      </c>
      <c r="D60" t="s">
        <v>322</v>
      </c>
      <c r="E60" t="s">
        <v>323</v>
      </c>
      <c r="F60" t="s">
        <v>54</v>
      </c>
      <c r="G60" t="s">
        <v>23</v>
      </c>
      <c r="H60" t="s">
        <v>87</v>
      </c>
      <c r="I60" t="s">
        <v>325</v>
      </c>
      <c r="J60">
        <v>1527</v>
      </c>
      <c r="K60">
        <v>69.9</v>
      </c>
      <c r="L60">
        <v>106737.3</v>
      </c>
    </row>
    <row r="61" spans="1:12">
      <c r="A61" s="6">
        <v>44075</v>
      </c>
      <c r="B61">
        <v>100059</v>
      </c>
      <c r="C61" t="s">
        <v>326</v>
      </c>
      <c r="D61" t="s">
        <v>327</v>
      </c>
      <c r="E61" t="s">
        <v>328</v>
      </c>
      <c r="F61" t="s">
        <v>88</v>
      </c>
      <c r="G61" t="s">
        <v>23</v>
      </c>
      <c r="H61" t="s">
        <v>64</v>
      </c>
      <c r="I61" t="s">
        <v>199</v>
      </c>
      <c r="J61">
        <v>3362</v>
      </c>
      <c r="K61">
        <v>9</v>
      </c>
      <c r="L61">
        <v>30258</v>
      </c>
    </row>
    <row r="62" spans="1:12">
      <c r="A62" s="6">
        <v>44075</v>
      </c>
      <c r="B62">
        <v>100060</v>
      </c>
      <c r="C62" t="s">
        <v>330</v>
      </c>
      <c r="D62" t="s">
        <v>331</v>
      </c>
      <c r="E62" t="s">
        <v>332</v>
      </c>
      <c r="F62" t="s">
        <v>76</v>
      </c>
      <c r="G62" t="s">
        <v>23</v>
      </c>
      <c r="H62" t="s">
        <v>93</v>
      </c>
      <c r="I62" t="s">
        <v>134</v>
      </c>
      <c r="J62">
        <v>399</v>
      </c>
      <c r="K62">
        <v>34.1</v>
      </c>
      <c r="L62">
        <v>13605.9</v>
      </c>
    </row>
    <row r="63" spans="1:12">
      <c r="A63" s="6">
        <v>44075</v>
      </c>
      <c r="B63">
        <v>100061</v>
      </c>
      <c r="C63" t="s">
        <v>334</v>
      </c>
      <c r="D63" t="s">
        <v>335</v>
      </c>
      <c r="E63" t="s">
        <v>336</v>
      </c>
      <c r="F63" t="s">
        <v>29</v>
      </c>
      <c r="G63" t="s">
        <v>23</v>
      </c>
      <c r="H63" t="s">
        <v>41</v>
      </c>
      <c r="I63" t="s">
        <v>204</v>
      </c>
      <c r="J63">
        <v>2503</v>
      </c>
      <c r="K63">
        <v>68.7</v>
      </c>
      <c r="L63">
        <v>171956.1</v>
      </c>
    </row>
    <row r="64" spans="1:12">
      <c r="A64" s="6">
        <v>44075</v>
      </c>
      <c r="B64">
        <v>100062</v>
      </c>
      <c r="C64" t="s">
        <v>338</v>
      </c>
      <c r="D64" t="s">
        <v>339</v>
      </c>
      <c r="E64" t="s">
        <v>340</v>
      </c>
      <c r="F64" t="s">
        <v>73</v>
      </c>
      <c r="G64" t="s">
        <v>23</v>
      </c>
      <c r="H64" t="s">
        <v>46</v>
      </c>
      <c r="I64" t="s">
        <v>218</v>
      </c>
      <c r="J64">
        <v>4001</v>
      </c>
      <c r="K64">
        <v>60.7</v>
      </c>
      <c r="L64">
        <v>242860.7</v>
      </c>
    </row>
    <row r="65" spans="1:12">
      <c r="A65" s="6">
        <v>44075</v>
      </c>
      <c r="B65">
        <v>100063</v>
      </c>
      <c r="C65" t="s">
        <v>342</v>
      </c>
      <c r="D65" t="s">
        <v>343</v>
      </c>
      <c r="E65" t="s">
        <v>344</v>
      </c>
      <c r="F65" t="s">
        <v>48</v>
      </c>
      <c r="G65" t="s">
        <v>23</v>
      </c>
      <c r="H65" t="s">
        <v>98</v>
      </c>
      <c r="I65" t="s">
        <v>162</v>
      </c>
      <c r="J65">
        <v>175</v>
      </c>
      <c r="K65">
        <v>44.3</v>
      </c>
      <c r="L65">
        <v>7752.5</v>
      </c>
    </row>
    <row r="66" spans="1:12">
      <c r="A66" s="6">
        <v>44075</v>
      </c>
      <c r="B66">
        <v>100063</v>
      </c>
      <c r="C66" t="s">
        <v>342</v>
      </c>
      <c r="D66" t="s">
        <v>343</v>
      </c>
      <c r="E66" t="s">
        <v>344</v>
      </c>
      <c r="F66" t="s">
        <v>73</v>
      </c>
      <c r="G66" t="s">
        <v>23</v>
      </c>
      <c r="H66" t="s">
        <v>98</v>
      </c>
      <c r="I66" t="s">
        <v>199</v>
      </c>
      <c r="J66">
        <v>203</v>
      </c>
      <c r="K66">
        <v>73.9</v>
      </c>
      <c r="L66">
        <v>15001.7</v>
      </c>
    </row>
    <row r="67" spans="1:12">
      <c r="A67" s="6">
        <v>44075</v>
      </c>
      <c r="B67">
        <v>100065</v>
      </c>
      <c r="C67" t="s">
        <v>346</v>
      </c>
      <c r="D67" t="s">
        <v>347</v>
      </c>
      <c r="E67" t="s">
        <v>348</v>
      </c>
      <c r="F67" t="s">
        <v>79</v>
      </c>
      <c r="G67" t="s">
        <v>23</v>
      </c>
      <c r="H67" t="s">
        <v>53</v>
      </c>
      <c r="I67" t="s">
        <v>118</v>
      </c>
      <c r="J67">
        <v>1772</v>
      </c>
      <c r="K67">
        <v>75.8</v>
      </c>
      <c r="L67">
        <v>134317.6</v>
      </c>
    </row>
    <row r="68" spans="1:12">
      <c r="A68" s="6">
        <v>44075</v>
      </c>
      <c r="B68">
        <v>100066</v>
      </c>
      <c r="C68" t="s">
        <v>350</v>
      </c>
      <c r="D68" t="s">
        <v>351</v>
      </c>
      <c r="E68" t="s">
        <v>352</v>
      </c>
      <c r="F68" t="s">
        <v>51</v>
      </c>
      <c r="G68" t="s">
        <v>23</v>
      </c>
      <c r="H68" t="s">
        <v>87</v>
      </c>
      <c r="I68" t="s">
        <v>199</v>
      </c>
      <c r="J68">
        <v>3307</v>
      </c>
      <c r="K68">
        <v>54.9</v>
      </c>
      <c r="L68">
        <v>181554.3</v>
      </c>
    </row>
    <row r="69" spans="1:12">
      <c r="A69" s="6">
        <v>44075</v>
      </c>
      <c r="B69">
        <v>100066</v>
      </c>
      <c r="C69" t="s">
        <v>350</v>
      </c>
      <c r="D69" t="s">
        <v>351</v>
      </c>
      <c r="E69" t="s">
        <v>352</v>
      </c>
      <c r="F69" t="s">
        <v>91</v>
      </c>
      <c r="G69" t="s">
        <v>23</v>
      </c>
      <c r="H69" t="s">
        <v>87</v>
      </c>
      <c r="I69" t="s">
        <v>227</v>
      </c>
      <c r="J69">
        <v>520</v>
      </c>
      <c r="K69">
        <v>91.4</v>
      </c>
      <c r="L69">
        <v>47528</v>
      </c>
    </row>
    <row r="70" spans="1:12">
      <c r="A70" s="6">
        <v>44075</v>
      </c>
      <c r="B70">
        <v>100068</v>
      </c>
      <c r="C70" t="s">
        <v>354</v>
      </c>
      <c r="D70" t="s">
        <v>355</v>
      </c>
      <c r="E70" t="s">
        <v>356</v>
      </c>
      <c r="F70" t="s">
        <v>81</v>
      </c>
      <c r="G70" t="s">
        <v>23</v>
      </c>
      <c r="H70" t="s">
        <v>90</v>
      </c>
      <c r="I70" t="s">
        <v>118</v>
      </c>
      <c r="J70">
        <v>3738</v>
      </c>
      <c r="K70">
        <v>56.1</v>
      </c>
      <c r="L70">
        <v>209701.8</v>
      </c>
    </row>
    <row r="71" spans="1:12">
      <c r="A71" s="6">
        <v>44075</v>
      </c>
      <c r="B71">
        <v>100069</v>
      </c>
      <c r="C71" t="s">
        <v>358</v>
      </c>
      <c r="D71" t="s">
        <v>359</v>
      </c>
      <c r="E71" t="s">
        <v>360</v>
      </c>
      <c r="F71" t="s">
        <v>59</v>
      </c>
      <c r="G71" t="s">
        <v>23</v>
      </c>
      <c r="H71" t="s">
        <v>90</v>
      </c>
      <c r="I71" t="s">
        <v>234</v>
      </c>
      <c r="J71">
        <v>4833</v>
      </c>
      <c r="K71">
        <v>12.5</v>
      </c>
      <c r="L71">
        <v>60412.5</v>
      </c>
    </row>
    <row r="72" spans="1:12">
      <c r="A72" s="6">
        <v>44075</v>
      </c>
      <c r="B72">
        <v>100070</v>
      </c>
      <c r="C72" t="s">
        <v>362</v>
      </c>
      <c r="D72" t="s">
        <v>363</v>
      </c>
      <c r="E72" t="s">
        <v>364</v>
      </c>
      <c r="F72" t="s">
        <v>70</v>
      </c>
      <c r="G72" t="s">
        <v>23</v>
      </c>
      <c r="H72" t="s">
        <v>78</v>
      </c>
      <c r="I72" t="s">
        <v>218</v>
      </c>
      <c r="J72">
        <v>3246</v>
      </c>
      <c r="K72">
        <v>70.3</v>
      </c>
      <c r="L72">
        <v>228193.8</v>
      </c>
    </row>
    <row r="73" spans="1:12">
      <c r="A73" s="6">
        <v>44075</v>
      </c>
      <c r="B73">
        <v>100071</v>
      </c>
      <c r="C73" t="s">
        <v>366</v>
      </c>
      <c r="D73" t="s">
        <v>367</v>
      </c>
      <c r="E73" t="s">
        <v>368</v>
      </c>
      <c r="F73" t="s">
        <v>37</v>
      </c>
      <c r="G73" t="s">
        <v>23</v>
      </c>
      <c r="H73" t="s">
        <v>103</v>
      </c>
      <c r="I73" t="s">
        <v>123</v>
      </c>
      <c r="J73">
        <v>3002</v>
      </c>
      <c r="K73">
        <v>21.5</v>
      </c>
      <c r="L73">
        <v>64543</v>
      </c>
    </row>
    <row r="74" spans="1:12">
      <c r="A74" s="6">
        <v>44075</v>
      </c>
      <c r="B74">
        <v>100072</v>
      </c>
      <c r="C74" t="s">
        <v>370</v>
      </c>
      <c r="D74" t="s">
        <v>371</v>
      </c>
      <c r="E74" t="s">
        <v>372</v>
      </c>
      <c r="F74" t="s">
        <v>59</v>
      </c>
      <c r="G74" t="s">
        <v>23</v>
      </c>
      <c r="H74" t="s">
        <v>69</v>
      </c>
      <c r="I74" t="s">
        <v>274</v>
      </c>
      <c r="J74">
        <v>719</v>
      </c>
      <c r="K74">
        <v>36.8</v>
      </c>
      <c r="L74">
        <v>26459.2</v>
      </c>
    </row>
    <row r="75" spans="1:12">
      <c r="A75" s="6">
        <v>44075</v>
      </c>
      <c r="B75">
        <v>100073</v>
      </c>
      <c r="C75" t="s">
        <v>374</v>
      </c>
      <c r="D75" t="s">
        <v>375</v>
      </c>
      <c r="E75" t="s">
        <v>376</v>
      </c>
      <c r="F75" t="s">
        <v>70</v>
      </c>
      <c r="G75" t="s">
        <v>23</v>
      </c>
      <c r="H75" t="s">
        <v>105</v>
      </c>
      <c r="I75" t="s">
        <v>180</v>
      </c>
      <c r="J75">
        <v>4761</v>
      </c>
      <c r="K75">
        <v>53.7</v>
      </c>
      <c r="L75">
        <v>255665.7</v>
      </c>
    </row>
    <row r="76" spans="1:12">
      <c r="A76" s="6">
        <v>44075</v>
      </c>
      <c r="B76">
        <v>100073</v>
      </c>
      <c r="C76" t="s">
        <v>374</v>
      </c>
      <c r="D76" t="s">
        <v>375</v>
      </c>
      <c r="E76" t="s">
        <v>376</v>
      </c>
      <c r="F76" t="s">
        <v>59</v>
      </c>
      <c r="G76" t="s">
        <v>23</v>
      </c>
      <c r="H76" t="s">
        <v>105</v>
      </c>
      <c r="I76" t="s">
        <v>180</v>
      </c>
      <c r="J76">
        <v>3146</v>
      </c>
      <c r="K76">
        <v>9.9</v>
      </c>
      <c r="L76">
        <v>31145.4</v>
      </c>
    </row>
    <row r="77" spans="1:12">
      <c r="A77" s="6">
        <v>44075</v>
      </c>
      <c r="B77">
        <v>100073</v>
      </c>
      <c r="C77" t="s">
        <v>374</v>
      </c>
      <c r="D77" t="s">
        <v>375</v>
      </c>
      <c r="E77" t="s">
        <v>376</v>
      </c>
      <c r="F77" t="s">
        <v>59</v>
      </c>
      <c r="G77" t="s">
        <v>23</v>
      </c>
      <c r="H77" t="s">
        <v>105</v>
      </c>
      <c r="I77" t="s">
        <v>139</v>
      </c>
      <c r="J77">
        <v>1312</v>
      </c>
      <c r="K77">
        <v>76.5</v>
      </c>
      <c r="L77">
        <v>100368</v>
      </c>
    </row>
    <row r="78" spans="1:12">
      <c r="A78" s="6">
        <v>44075</v>
      </c>
      <c r="B78">
        <v>100076</v>
      </c>
      <c r="C78" t="s">
        <v>378</v>
      </c>
      <c r="D78" t="s">
        <v>379</v>
      </c>
      <c r="E78" t="s">
        <v>380</v>
      </c>
      <c r="F78" t="s">
        <v>83</v>
      </c>
      <c r="G78" t="s">
        <v>23</v>
      </c>
      <c r="H78" t="s">
        <v>41</v>
      </c>
      <c r="I78" t="s">
        <v>118</v>
      </c>
      <c r="J78">
        <v>3623</v>
      </c>
      <c r="K78">
        <v>98.3</v>
      </c>
      <c r="L78">
        <v>356140.9</v>
      </c>
    </row>
    <row r="79" spans="1:12">
      <c r="A79" s="6">
        <v>44075</v>
      </c>
      <c r="B79">
        <v>100077</v>
      </c>
      <c r="C79" t="s">
        <v>382</v>
      </c>
      <c r="D79" t="s">
        <v>383</v>
      </c>
      <c r="E79" t="s">
        <v>384</v>
      </c>
      <c r="F79" t="s">
        <v>29</v>
      </c>
      <c r="G79" t="s">
        <v>23</v>
      </c>
      <c r="H79" t="s">
        <v>58</v>
      </c>
      <c r="I79" t="s">
        <v>172</v>
      </c>
      <c r="J79">
        <v>1400</v>
      </c>
      <c r="K79">
        <v>33.9</v>
      </c>
      <c r="L79">
        <v>47460</v>
      </c>
    </row>
    <row r="80" spans="1:12">
      <c r="A80" s="6">
        <v>44075</v>
      </c>
      <c r="B80">
        <v>100078</v>
      </c>
      <c r="C80" t="s">
        <v>386</v>
      </c>
      <c r="D80" t="s">
        <v>387</v>
      </c>
      <c r="E80" t="s">
        <v>388</v>
      </c>
      <c r="F80" t="s">
        <v>43</v>
      </c>
      <c r="G80" t="s">
        <v>23</v>
      </c>
      <c r="H80" t="s">
        <v>27</v>
      </c>
      <c r="I80" t="s">
        <v>189</v>
      </c>
      <c r="J80">
        <v>797</v>
      </c>
      <c r="K80">
        <v>52.2</v>
      </c>
      <c r="L80">
        <v>41603.4</v>
      </c>
    </row>
    <row r="81" spans="1:12">
      <c r="A81" s="6">
        <v>44075</v>
      </c>
      <c r="B81">
        <v>100079</v>
      </c>
      <c r="C81" t="s">
        <v>390</v>
      </c>
      <c r="D81" t="s">
        <v>391</v>
      </c>
      <c r="E81" t="s">
        <v>392</v>
      </c>
      <c r="F81" t="s">
        <v>65</v>
      </c>
      <c r="G81" t="s">
        <v>23</v>
      </c>
      <c r="H81" t="s">
        <v>101</v>
      </c>
      <c r="I81" t="s">
        <v>112</v>
      </c>
      <c r="J81">
        <v>4532</v>
      </c>
      <c r="K81">
        <v>36.2</v>
      </c>
      <c r="L81">
        <v>164058.4</v>
      </c>
    </row>
    <row r="82" spans="1:12">
      <c r="A82" s="6">
        <v>44075</v>
      </c>
      <c r="B82">
        <v>100080</v>
      </c>
      <c r="C82" t="s">
        <v>394</v>
      </c>
      <c r="D82" t="s">
        <v>395</v>
      </c>
      <c r="E82" t="s">
        <v>396</v>
      </c>
      <c r="F82" t="s">
        <v>29</v>
      </c>
      <c r="G82" t="s">
        <v>23</v>
      </c>
      <c r="H82" t="s">
        <v>103</v>
      </c>
      <c r="I82" t="s">
        <v>180</v>
      </c>
      <c r="J82">
        <v>3275</v>
      </c>
      <c r="K82">
        <v>9.1</v>
      </c>
      <c r="L82">
        <v>29802.5</v>
      </c>
    </row>
    <row r="83" spans="1:12">
      <c r="A83" s="6">
        <v>44075</v>
      </c>
      <c r="B83">
        <v>100081</v>
      </c>
      <c r="C83" t="s">
        <v>398</v>
      </c>
      <c r="D83" t="s">
        <v>399</v>
      </c>
      <c r="E83" t="s">
        <v>400</v>
      </c>
      <c r="F83" t="s">
        <v>73</v>
      </c>
      <c r="G83" t="s">
        <v>23</v>
      </c>
      <c r="H83" t="s">
        <v>72</v>
      </c>
      <c r="I83" t="s">
        <v>218</v>
      </c>
      <c r="J83">
        <v>2101</v>
      </c>
      <c r="K83">
        <v>43.5</v>
      </c>
      <c r="L83">
        <v>91393.5</v>
      </c>
    </row>
    <row r="84" spans="1:12">
      <c r="A84" s="6">
        <v>44075</v>
      </c>
      <c r="B84">
        <v>100082</v>
      </c>
      <c r="C84" t="s">
        <v>402</v>
      </c>
      <c r="D84" t="s">
        <v>403</v>
      </c>
      <c r="E84" t="s">
        <v>404</v>
      </c>
      <c r="F84" t="s">
        <v>43</v>
      </c>
      <c r="G84" t="s">
        <v>23</v>
      </c>
      <c r="H84" t="s">
        <v>41</v>
      </c>
      <c r="I84" t="s">
        <v>232</v>
      </c>
      <c r="J84">
        <v>4816</v>
      </c>
      <c r="K84">
        <v>29.6</v>
      </c>
      <c r="L84">
        <v>142553.6</v>
      </c>
    </row>
    <row r="85" spans="1:12">
      <c r="A85" s="6">
        <v>44075</v>
      </c>
      <c r="B85">
        <v>100083</v>
      </c>
      <c r="C85" t="s">
        <v>406</v>
      </c>
      <c r="D85" t="s">
        <v>407</v>
      </c>
      <c r="E85" t="s">
        <v>408</v>
      </c>
      <c r="F85" t="s">
        <v>59</v>
      </c>
      <c r="G85" t="s">
        <v>23</v>
      </c>
      <c r="H85" t="s">
        <v>96</v>
      </c>
      <c r="I85" t="s">
        <v>218</v>
      </c>
      <c r="J85">
        <v>3788</v>
      </c>
      <c r="K85">
        <v>76.6</v>
      </c>
      <c r="L85">
        <v>290160.8</v>
      </c>
    </row>
    <row r="86" spans="1:12">
      <c r="A86" s="6">
        <v>44075</v>
      </c>
      <c r="B86">
        <v>100084</v>
      </c>
      <c r="C86" t="s">
        <v>410</v>
      </c>
      <c r="D86" t="s">
        <v>411</v>
      </c>
      <c r="E86" t="s">
        <v>412</v>
      </c>
      <c r="F86" t="s">
        <v>83</v>
      </c>
      <c r="G86" t="s">
        <v>23</v>
      </c>
      <c r="H86" t="s">
        <v>78</v>
      </c>
      <c r="I86" t="s">
        <v>139</v>
      </c>
      <c r="J86">
        <v>4974</v>
      </c>
      <c r="K86">
        <v>19.6</v>
      </c>
      <c r="L86">
        <v>97490.4</v>
      </c>
    </row>
    <row r="87" spans="1:12">
      <c r="A87" s="6">
        <v>44075</v>
      </c>
      <c r="B87">
        <v>100085</v>
      </c>
      <c r="C87" t="s">
        <v>414</v>
      </c>
      <c r="D87" t="s">
        <v>415</v>
      </c>
      <c r="E87" t="s">
        <v>416</v>
      </c>
      <c r="F87" t="s">
        <v>29</v>
      </c>
      <c r="G87" t="s">
        <v>23</v>
      </c>
      <c r="H87" t="s">
        <v>35</v>
      </c>
      <c r="I87" t="s">
        <v>118</v>
      </c>
      <c r="J87">
        <v>3948</v>
      </c>
      <c r="K87">
        <v>93.7</v>
      </c>
      <c r="L87">
        <v>369927.6</v>
      </c>
    </row>
    <row r="88" spans="1:12">
      <c r="A88" s="6">
        <v>44075</v>
      </c>
      <c r="B88">
        <v>100086</v>
      </c>
      <c r="C88" t="s">
        <v>418</v>
      </c>
      <c r="D88" t="s">
        <v>419</v>
      </c>
      <c r="E88" t="s">
        <v>420</v>
      </c>
      <c r="F88" t="s">
        <v>88</v>
      </c>
      <c r="G88" t="s">
        <v>23</v>
      </c>
      <c r="H88" t="s">
        <v>101</v>
      </c>
      <c r="I88" t="s">
        <v>112</v>
      </c>
      <c r="J88">
        <v>2067</v>
      </c>
      <c r="K88">
        <v>78.3</v>
      </c>
      <c r="L88">
        <v>161846.1</v>
      </c>
    </row>
    <row r="89" spans="1:12">
      <c r="A89" s="6">
        <v>44075</v>
      </c>
      <c r="B89">
        <v>100087</v>
      </c>
      <c r="C89" t="s">
        <v>422</v>
      </c>
      <c r="D89" t="s">
        <v>423</v>
      </c>
      <c r="E89" t="s">
        <v>424</v>
      </c>
      <c r="F89" t="s">
        <v>51</v>
      </c>
      <c r="G89" t="s">
        <v>23</v>
      </c>
      <c r="H89" t="s">
        <v>34</v>
      </c>
      <c r="I89" t="s">
        <v>274</v>
      </c>
      <c r="J89">
        <v>1457</v>
      </c>
      <c r="K89">
        <v>26.6</v>
      </c>
      <c r="L89">
        <v>38756.2</v>
      </c>
    </row>
    <row r="90" spans="1:12">
      <c r="A90" s="6">
        <v>44075</v>
      </c>
      <c r="B90">
        <v>100088</v>
      </c>
      <c r="C90" t="s">
        <v>426</v>
      </c>
      <c r="D90" t="s">
        <v>427</v>
      </c>
      <c r="E90" t="s">
        <v>428</v>
      </c>
      <c r="F90" t="s">
        <v>88</v>
      </c>
      <c r="G90" t="s">
        <v>23</v>
      </c>
      <c r="H90" t="s">
        <v>105</v>
      </c>
      <c r="I90" t="s">
        <v>128</v>
      </c>
      <c r="J90">
        <v>2583</v>
      </c>
      <c r="K90">
        <v>39.9</v>
      </c>
      <c r="L90">
        <v>103061.7</v>
      </c>
    </row>
    <row r="91" spans="1:12">
      <c r="A91" s="6">
        <v>44075</v>
      </c>
      <c r="B91">
        <v>100089</v>
      </c>
      <c r="C91" t="s">
        <v>430</v>
      </c>
      <c r="D91" t="s">
        <v>431</v>
      </c>
      <c r="E91" t="s">
        <v>432</v>
      </c>
      <c r="F91" t="s">
        <v>91</v>
      </c>
      <c r="G91" t="s">
        <v>23</v>
      </c>
      <c r="H91" t="s">
        <v>46</v>
      </c>
      <c r="I91" t="s">
        <v>218</v>
      </c>
      <c r="J91">
        <v>4649</v>
      </c>
      <c r="K91">
        <v>28.8</v>
      </c>
      <c r="L91">
        <v>133891.2</v>
      </c>
    </row>
    <row r="92" spans="1:12">
      <c r="A92" s="6">
        <v>44075</v>
      </c>
      <c r="B92">
        <v>100090</v>
      </c>
      <c r="C92" t="s">
        <v>434</v>
      </c>
      <c r="D92" t="s">
        <v>435</v>
      </c>
      <c r="E92" t="s">
        <v>436</v>
      </c>
      <c r="F92" t="s">
        <v>37</v>
      </c>
      <c r="G92" t="s">
        <v>23</v>
      </c>
      <c r="H92" t="s">
        <v>78</v>
      </c>
      <c r="I92" t="s">
        <v>172</v>
      </c>
      <c r="J92">
        <v>2303</v>
      </c>
      <c r="K92">
        <v>51.7</v>
      </c>
      <c r="L92">
        <v>119065.1</v>
      </c>
    </row>
    <row r="93" spans="1:12">
      <c r="A93" s="6">
        <v>44075</v>
      </c>
      <c r="B93">
        <v>100091</v>
      </c>
      <c r="C93" t="s">
        <v>438</v>
      </c>
      <c r="D93" t="s">
        <v>439</v>
      </c>
      <c r="E93" t="s">
        <v>440</v>
      </c>
      <c r="F93" t="s">
        <v>65</v>
      </c>
      <c r="G93" t="s">
        <v>23</v>
      </c>
      <c r="H93" t="s">
        <v>98</v>
      </c>
      <c r="I93" t="s">
        <v>128</v>
      </c>
      <c r="J93">
        <v>2516</v>
      </c>
      <c r="K93">
        <v>93.6</v>
      </c>
      <c r="L93">
        <v>235497.6</v>
      </c>
    </row>
    <row r="94" spans="1:12">
      <c r="A94" s="6">
        <v>44075</v>
      </c>
      <c r="B94">
        <v>100092</v>
      </c>
      <c r="C94" t="s">
        <v>442</v>
      </c>
      <c r="D94" t="s">
        <v>443</v>
      </c>
      <c r="E94" t="s">
        <v>444</v>
      </c>
      <c r="F94" t="s">
        <v>76</v>
      </c>
      <c r="G94" t="s">
        <v>23</v>
      </c>
      <c r="H94" t="s">
        <v>103</v>
      </c>
      <c r="I94" t="s">
        <v>199</v>
      </c>
      <c r="J94">
        <v>1104</v>
      </c>
      <c r="K94">
        <v>51.3</v>
      </c>
      <c r="L94">
        <v>56635.2</v>
      </c>
    </row>
    <row r="95" spans="1:12">
      <c r="A95" s="6">
        <v>44075</v>
      </c>
      <c r="B95">
        <v>100093</v>
      </c>
      <c r="C95" t="s">
        <v>446</v>
      </c>
      <c r="D95" t="s">
        <v>447</v>
      </c>
      <c r="E95" t="s">
        <v>448</v>
      </c>
      <c r="F95" t="s">
        <v>29</v>
      </c>
      <c r="G95" t="s">
        <v>23</v>
      </c>
      <c r="H95" t="s">
        <v>80</v>
      </c>
      <c r="I95" t="s">
        <v>232</v>
      </c>
      <c r="J95">
        <v>1677</v>
      </c>
      <c r="K95">
        <v>77.2</v>
      </c>
      <c r="L95">
        <v>129464.4</v>
      </c>
    </row>
    <row r="96" spans="1:12">
      <c r="A96" s="6">
        <v>44075</v>
      </c>
      <c r="B96">
        <v>100093</v>
      </c>
      <c r="C96" t="s">
        <v>446</v>
      </c>
      <c r="D96" t="s">
        <v>447</v>
      </c>
      <c r="E96" t="s">
        <v>448</v>
      </c>
      <c r="F96" t="s">
        <v>62</v>
      </c>
      <c r="G96" t="s">
        <v>23</v>
      </c>
      <c r="H96" t="s">
        <v>80</v>
      </c>
      <c r="I96" t="s">
        <v>274</v>
      </c>
      <c r="J96">
        <v>4027</v>
      </c>
      <c r="K96">
        <v>66.9</v>
      </c>
      <c r="L96">
        <v>269406.3</v>
      </c>
    </row>
    <row r="97" spans="1:12">
      <c r="A97" s="6">
        <v>44075</v>
      </c>
      <c r="B97">
        <v>100093</v>
      </c>
      <c r="C97" t="s">
        <v>446</v>
      </c>
      <c r="D97" t="s">
        <v>447</v>
      </c>
      <c r="E97" t="s">
        <v>448</v>
      </c>
      <c r="F97" t="s">
        <v>79</v>
      </c>
      <c r="G97" t="s">
        <v>23</v>
      </c>
      <c r="H97" t="s">
        <v>80</v>
      </c>
      <c r="I97" t="s">
        <v>325</v>
      </c>
      <c r="J97">
        <v>3256</v>
      </c>
      <c r="K97">
        <v>14.9</v>
      </c>
      <c r="L97">
        <v>48514.4</v>
      </c>
    </row>
    <row r="98" spans="1:12">
      <c r="A98" s="6">
        <v>44075</v>
      </c>
      <c r="B98">
        <v>100096</v>
      </c>
      <c r="C98" t="s">
        <v>450</v>
      </c>
      <c r="D98" t="s">
        <v>451</v>
      </c>
      <c r="E98" t="s">
        <v>452</v>
      </c>
      <c r="F98" t="s">
        <v>51</v>
      </c>
      <c r="G98" t="s">
        <v>23</v>
      </c>
      <c r="H98" t="s">
        <v>53</v>
      </c>
      <c r="I98" t="s">
        <v>218</v>
      </c>
      <c r="J98">
        <v>757</v>
      </c>
      <c r="K98">
        <v>79</v>
      </c>
      <c r="L98">
        <v>59803</v>
      </c>
    </row>
    <row r="99" spans="1:12">
      <c r="A99" s="6">
        <v>44075</v>
      </c>
      <c r="B99">
        <v>100097</v>
      </c>
      <c r="C99" t="s">
        <v>454</v>
      </c>
      <c r="D99" t="s">
        <v>455</v>
      </c>
      <c r="E99" t="s">
        <v>456</v>
      </c>
      <c r="F99" t="s">
        <v>59</v>
      </c>
      <c r="G99" t="s">
        <v>23</v>
      </c>
      <c r="H99" t="s">
        <v>103</v>
      </c>
      <c r="I99" t="s">
        <v>204</v>
      </c>
      <c r="J99">
        <v>3979</v>
      </c>
      <c r="K99">
        <v>52.3</v>
      </c>
      <c r="L99">
        <v>208101.7</v>
      </c>
    </row>
    <row r="100" spans="1:12">
      <c r="A100" s="6">
        <v>44075</v>
      </c>
      <c r="B100">
        <v>100098</v>
      </c>
      <c r="C100" t="s">
        <v>458</v>
      </c>
      <c r="D100" t="s">
        <v>459</v>
      </c>
      <c r="E100" t="s">
        <v>460</v>
      </c>
      <c r="F100" t="s">
        <v>48</v>
      </c>
      <c r="G100" t="s">
        <v>23</v>
      </c>
      <c r="H100" t="s">
        <v>35</v>
      </c>
      <c r="I100" t="s">
        <v>189</v>
      </c>
      <c r="J100">
        <v>1733</v>
      </c>
      <c r="K100">
        <v>64.1</v>
      </c>
      <c r="L100">
        <v>111085.3</v>
      </c>
    </row>
    <row r="101" spans="1:12">
      <c r="A101" s="6">
        <v>44075</v>
      </c>
      <c r="B101">
        <v>100099</v>
      </c>
      <c r="C101" t="s">
        <v>462</v>
      </c>
      <c r="D101" t="s">
        <v>463</v>
      </c>
      <c r="E101" t="s">
        <v>464</v>
      </c>
      <c r="F101" t="s">
        <v>88</v>
      </c>
      <c r="G101" t="s">
        <v>23</v>
      </c>
      <c r="H101" t="s">
        <v>64</v>
      </c>
      <c r="I101" t="s">
        <v>148</v>
      </c>
      <c r="J101">
        <v>1003</v>
      </c>
      <c r="K101">
        <v>6.5</v>
      </c>
      <c r="L101">
        <v>6519.5</v>
      </c>
    </row>
    <row r="102" spans="1:12">
      <c r="A102" s="6">
        <v>44075</v>
      </c>
      <c r="B102">
        <v>100100</v>
      </c>
      <c r="C102" t="s">
        <v>466</v>
      </c>
      <c r="D102" t="s">
        <v>467</v>
      </c>
      <c r="E102" t="s">
        <v>468</v>
      </c>
      <c r="F102" t="s">
        <v>88</v>
      </c>
      <c r="G102" t="s">
        <v>23</v>
      </c>
      <c r="H102" t="s">
        <v>82</v>
      </c>
      <c r="I102" t="s">
        <v>135</v>
      </c>
      <c r="J102">
        <v>1202</v>
      </c>
      <c r="K102">
        <v>59.8</v>
      </c>
      <c r="L102">
        <v>71879.6</v>
      </c>
    </row>
    <row r="103" spans="1:12">
      <c r="A103" s="6">
        <v>44075</v>
      </c>
      <c r="B103">
        <v>100101</v>
      </c>
      <c r="C103" t="s">
        <v>470</v>
      </c>
      <c r="D103" t="s">
        <v>471</v>
      </c>
      <c r="E103" t="s">
        <v>472</v>
      </c>
      <c r="F103" t="s">
        <v>37</v>
      </c>
      <c r="G103" t="s">
        <v>23</v>
      </c>
      <c r="H103" t="s">
        <v>103</v>
      </c>
      <c r="I103" t="s">
        <v>135</v>
      </c>
      <c r="J103">
        <v>2506</v>
      </c>
      <c r="K103">
        <v>63</v>
      </c>
      <c r="L103">
        <v>157878</v>
      </c>
    </row>
    <row r="104" spans="1:12">
      <c r="A104" s="6">
        <v>44075</v>
      </c>
      <c r="B104">
        <v>100102</v>
      </c>
      <c r="C104" t="s">
        <v>474</v>
      </c>
      <c r="D104" t="s">
        <v>475</v>
      </c>
      <c r="E104" t="s">
        <v>476</v>
      </c>
      <c r="F104" t="s">
        <v>94</v>
      </c>
      <c r="G104" t="s">
        <v>23</v>
      </c>
      <c r="H104" t="s">
        <v>103</v>
      </c>
      <c r="I104" t="s">
        <v>134</v>
      </c>
      <c r="J104">
        <v>1624</v>
      </c>
      <c r="K104">
        <v>86.6</v>
      </c>
      <c r="L104">
        <v>140638.4</v>
      </c>
    </row>
    <row r="105" spans="1:12">
      <c r="A105" s="6">
        <v>44075</v>
      </c>
      <c r="B105">
        <v>100103</v>
      </c>
      <c r="C105" t="s">
        <v>478</v>
      </c>
      <c r="D105" t="s">
        <v>479</v>
      </c>
      <c r="E105" t="s">
        <v>480</v>
      </c>
      <c r="F105" t="s">
        <v>94</v>
      </c>
      <c r="G105" t="s">
        <v>23</v>
      </c>
      <c r="H105" t="s">
        <v>87</v>
      </c>
      <c r="I105" t="s">
        <v>227</v>
      </c>
      <c r="J105">
        <v>4371</v>
      </c>
      <c r="K105">
        <v>95.4</v>
      </c>
      <c r="L105">
        <v>416993.4</v>
      </c>
    </row>
    <row r="106" spans="1:12">
      <c r="A106" s="6">
        <v>44075</v>
      </c>
      <c r="B106">
        <v>100104</v>
      </c>
      <c r="C106" t="s">
        <v>482</v>
      </c>
      <c r="D106" t="s">
        <v>483</v>
      </c>
      <c r="E106" t="s">
        <v>484</v>
      </c>
      <c r="F106" t="s">
        <v>54</v>
      </c>
      <c r="G106" t="s">
        <v>23</v>
      </c>
      <c r="H106" t="s">
        <v>35</v>
      </c>
      <c r="I106" t="s">
        <v>274</v>
      </c>
      <c r="J106">
        <v>3848</v>
      </c>
      <c r="K106">
        <v>70</v>
      </c>
      <c r="L106">
        <v>269360</v>
      </c>
    </row>
    <row r="107" spans="1:12">
      <c r="A107" s="6">
        <v>44075</v>
      </c>
      <c r="B107">
        <v>100105</v>
      </c>
      <c r="C107" t="s">
        <v>486</v>
      </c>
      <c r="D107" t="s">
        <v>487</v>
      </c>
      <c r="E107" t="s">
        <v>488</v>
      </c>
      <c r="F107" t="s">
        <v>88</v>
      </c>
      <c r="G107" t="s">
        <v>23</v>
      </c>
      <c r="H107" t="s">
        <v>103</v>
      </c>
      <c r="I107" t="s">
        <v>234</v>
      </c>
      <c r="J107">
        <v>2530</v>
      </c>
      <c r="K107">
        <v>84.4</v>
      </c>
      <c r="L107">
        <v>213532</v>
      </c>
    </row>
    <row r="108" spans="1:12">
      <c r="A108" s="6">
        <v>44075</v>
      </c>
      <c r="B108">
        <v>100106</v>
      </c>
      <c r="C108" t="s">
        <v>490</v>
      </c>
      <c r="D108" t="s">
        <v>491</v>
      </c>
      <c r="E108" t="s">
        <v>492</v>
      </c>
      <c r="F108" t="s">
        <v>91</v>
      </c>
      <c r="G108" t="s">
        <v>23</v>
      </c>
      <c r="H108" t="s">
        <v>96</v>
      </c>
      <c r="I108" t="s">
        <v>148</v>
      </c>
      <c r="J108">
        <v>1937</v>
      </c>
      <c r="K108">
        <v>43.8</v>
      </c>
      <c r="L108">
        <v>84840.6</v>
      </c>
    </row>
    <row r="109" spans="1:12">
      <c r="A109" s="6">
        <v>44075</v>
      </c>
      <c r="B109">
        <v>100107</v>
      </c>
      <c r="C109" t="s">
        <v>494</v>
      </c>
      <c r="D109" t="s">
        <v>495</v>
      </c>
      <c r="E109" t="s">
        <v>496</v>
      </c>
      <c r="F109" t="s">
        <v>65</v>
      </c>
      <c r="G109" t="s">
        <v>23</v>
      </c>
      <c r="H109" t="s">
        <v>41</v>
      </c>
      <c r="I109" t="s">
        <v>497</v>
      </c>
      <c r="J109">
        <v>4647</v>
      </c>
      <c r="K109">
        <v>33.5</v>
      </c>
      <c r="L109">
        <v>155674.5</v>
      </c>
    </row>
    <row r="110" spans="1:12">
      <c r="A110" s="6">
        <v>44075</v>
      </c>
      <c r="B110">
        <v>100107</v>
      </c>
      <c r="C110" t="s">
        <v>494</v>
      </c>
      <c r="D110" t="s">
        <v>495</v>
      </c>
      <c r="E110" t="s">
        <v>496</v>
      </c>
      <c r="F110" t="s">
        <v>76</v>
      </c>
      <c r="G110" t="s">
        <v>23</v>
      </c>
      <c r="H110" t="s">
        <v>41</v>
      </c>
      <c r="I110" t="s">
        <v>134</v>
      </c>
      <c r="J110">
        <v>2517</v>
      </c>
      <c r="K110">
        <v>38.7</v>
      </c>
      <c r="L110">
        <v>97407.9</v>
      </c>
    </row>
    <row r="111" spans="1:12">
      <c r="A111" s="6">
        <v>44075</v>
      </c>
      <c r="B111">
        <v>100109</v>
      </c>
      <c r="C111" t="s">
        <v>499</v>
      </c>
      <c r="D111" t="s">
        <v>500</v>
      </c>
      <c r="E111" t="s">
        <v>501</v>
      </c>
      <c r="F111" t="s">
        <v>51</v>
      </c>
      <c r="G111" t="s">
        <v>23</v>
      </c>
      <c r="H111" t="s">
        <v>103</v>
      </c>
      <c r="I111" t="s">
        <v>114</v>
      </c>
      <c r="J111">
        <v>4974</v>
      </c>
      <c r="K111">
        <v>83.2</v>
      </c>
      <c r="L111">
        <v>413836.8</v>
      </c>
    </row>
    <row r="112" spans="1:12">
      <c r="A112" s="6">
        <v>44075</v>
      </c>
      <c r="B112">
        <v>100110</v>
      </c>
      <c r="C112" t="s">
        <v>503</v>
      </c>
      <c r="D112" t="s">
        <v>504</v>
      </c>
      <c r="E112" t="s">
        <v>505</v>
      </c>
      <c r="F112" t="s">
        <v>83</v>
      </c>
      <c r="G112" t="s">
        <v>23</v>
      </c>
      <c r="H112" t="s">
        <v>41</v>
      </c>
      <c r="I112" t="s">
        <v>204</v>
      </c>
      <c r="J112">
        <v>561</v>
      </c>
      <c r="K112">
        <v>61.8</v>
      </c>
      <c r="L112">
        <v>34669.8</v>
      </c>
    </row>
    <row r="113" spans="1:12">
      <c r="A113" s="6">
        <v>44075</v>
      </c>
      <c r="B113">
        <v>100111</v>
      </c>
      <c r="C113" t="s">
        <v>507</v>
      </c>
      <c r="D113" t="s">
        <v>508</v>
      </c>
      <c r="E113" t="s">
        <v>509</v>
      </c>
      <c r="F113" t="s">
        <v>37</v>
      </c>
      <c r="G113" t="s">
        <v>23</v>
      </c>
      <c r="H113" t="s">
        <v>96</v>
      </c>
      <c r="I113" t="s">
        <v>134</v>
      </c>
      <c r="J113">
        <v>4928</v>
      </c>
      <c r="K113">
        <v>98.9</v>
      </c>
      <c r="L113">
        <v>487379.2</v>
      </c>
    </row>
    <row r="114" spans="1:12">
      <c r="A114" s="6">
        <v>44075</v>
      </c>
      <c r="B114">
        <v>100112</v>
      </c>
      <c r="C114" t="s">
        <v>511</v>
      </c>
      <c r="D114" t="s">
        <v>512</v>
      </c>
      <c r="E114" t="s">
        <v>513</v>
      </c>
      <c r="F114" t="s">
        <v>62</v>
      </c>
      <c r="G114" t="s">
        <v>23</v>
      </c>
      <c r="H114" t="s">
        <v>61</v>
      </c>
      <c r="I114" t="s">
        <v>194</v>
      </c>
      <c r="J114">
        <v>600</v>
      </c>
      <c r="K114">
        <v>25.1</v>
      </c>
      <c r="L114">
        <v>15060</v>
      </c>
    </row>
    <row r="115" spans="1:12">
      <c r="A115" s="6">
        <v>44075</v>
      </c>
      <c r="B115">
        <v>100113</v>
      </c>
      <c r="C115" t="s">
        <v>515</v>
      </c>
      <c r="D115" t="s">
        <v>516</v>
      </c>
      <c r="E115" t="s">
        <v>517</v>
      </c>
      <c r="F115" t="s">
        <v>81</v>
      </c>
      <c r="G115" t="s">
        <v>23</v>
      </c>
      <c r="H115" t="s">
        <v>35</v>
      </c>
      <c r="I115" t="s">
        <v>234</v>
      </c>
      <c r="J115">
        <v>4051</v>
      </c>
      <c r="K115">
        <v>51.2</v>
      </c>
      <c r="L115">
        <v>207411.2</v>
      </c>
    </row>
    <row r="116" spans="1:12">
      <c r="A116" s="6">
        <v>44075</v>
      </c>
      <c r="B116">
        <v>100114</v>
      </c>
      <c r="C116" t="s">
        <v>519</v>
      </c>
      <c r="D116" t="s">
        <v>520</v>
      </c>
      <c r="E116" t="s">
        <v>521</v>
      </c>
      <c r="F116" t="s">
        <v>76</v>
      </c>
      <c r="G116" t="s">
        <v>23</v>
      </c>
      <c r="H116" t="s">
        <v>50</v>
      </c>
      <c r="I116" t="s">
        <v>232</v>
      </c>
      <c r="J116">
        <v>4446</v>
      </c>
      <c r="K116">
        <v>29.6</v>
      </c>
      <c r="L116">
        <v>131601.6</v>
      </c>
    </row>
    <row r="117" spans="1:12">
      <c r="A117" s="6">
        <v>44075</v>
      </c>
      <c r="B117">
        <v>100115</v>
      </c>
      <c r="C117" t="s">
        <v>523</v>
      </c>
      <c r="D117" t="s">
        <v>524</v>
      </c>
      <c r="E117" t="s">
        <v>525</v>
      </c>
      <c r="F117" t="s">
        <v>48</v>
      </c>
      <c r="G117" t="s">
        <v>23</v>
      </c>
      <c r="H117" t="s">
        <v>87</v>
      </c>
      <c r="I117" t="s">
        <v>118</v>
      </c>
      <c r="J117">
        <v>2608</v>
      </c>
      <c r="K117">
        <v>79.6</v>
      </c>
      <c r="L117">
        <v>207596.8</v>
      </c>
    </row>
    <row r="118" spans="1:12">
      <c r="A118" s="6">
        <v>44075</v>
      </c>
      <c r="B118">
        <v>100116</v>
      </c>
      <c r="C118" t="s">
        <v>527</v>
      </c>
      <c r="D118" t="s">
        <v>528</v>
      </c>
      <c r="E118" t="s">
        <v>529</v>
      </c>
      <c r="F118" t="s">
        <v>62</v>
      </c>
      <c r="G118" t="s">
        <v>23</v>
      </c>
      <c r="H118" t="s">
        <v>50</v>
      </c>
      <c r="I118" t="s">
        <v>199</v>
      </c>
      <c r="J118">
        <v>4275</v>
      </c>
      <c r="K118">
        <v>74.3</v>
      </c>
      <c r="L118">
        <v>317632.5</v>
      </c>
    </row>
    <row r="119" spans="1:12">
      <c r="A119" s="6">
        <v>44075</v>
      </c>
      <c r="B119">
        <v>100116</v>
      </c>
      <c r="C119" t="s">
        <v>527</v>
      </c>
      <c r="D119" t="s">
        <v>528</v>
      </c>
      <c r="E119" t="s">
        <v>529</v>
      </c>
      <c r="F119" t="s">
        <v>73</v>
      </c>
      <c r="G119" t="s">
        <v>23</v>
      </c>
      <c r="H119" t="s">
        <v>50</v>
      </c>
      <c r="I119" t="s">
        <v>135</v>
      </c>
      <c r="J119">
        <v>2559</v>
      </c>
      <c r="K119">
        <v>80.1</v>
      </c>
      <c r="L119">
        <v>204975.9</v>
      </c>
    </row>
    <row r="120" spans="1:12">
      <c r="A120" s="6">
        <v>44075</v>
      </c>
      <c r="B120">
        <v>100118</v>
      </c>
      <c r="C120" t="s">
        <v>531</v>
      </c>
      <c r="D120" t="s">
        <v>532</v>
      </c>
      <c r="E120" t="s">
        <v>533</v>
      </c>
      <c r="F120" t="s">
        <v>48</v>
      </c>
      <c r="G120" t="s">
        <v>23</v>
      </c>
      <c r="H120" t="s">
        <v>93</v>
      </c>
      <c r="I120" t="s">
        <v>172</v>
      </c>
      <c r="J120">
        <v>726</v>
      </c>
      <c r="K120">
        <v>64.6</v>
      </c>
      <c r="L120">
        <v>46899.6</v>
      </c>
    </row>
    <row r="121" spans="1:12">
      <c r="A121" s="6">
        <v>44075</v>
      </c>
      <c r="B121">
        <v>100119</v>
      </c>
      <c r="C121" t="s">
        <v>535</v>
      </c>
      <c r="D121" t="s">
        <v>536</v>
      </c>
      <c r="E121" t="s">
        <v>537</v>
      </c>
      <c r="F121" t="s">
        <v>83</v>
      </c>
      <c r="G121" t="s">
        <v>23</v>
      </c>
      <c r="H121" t="s">
        <v>103</v>
      </c>
      <c r="I121" t="s">
        <v>112</v>
      </c>
      <c r="J121">
        <v>2055</v>
      </c>
      <c r="K121">
        <v>40.4</v>
      </c>
      <c r="L121">
        <v>83022</v>
      </c>
    </row>
    <row r="122" spans="1:12">
      <c r="A122" s="6">
        <v>44075</v>
      </c>
      <c r="B122">
        <v>100120</v>
      </c>
      <c r="C122" t="s">
        <v>539</v>
      </c>
      <c r="D122" t="s">
        <v>540</v>
      </c>
      <c r="E122" t="s">
        <v>541</v>
      </c>
      <c r="F122" t="s">
        <v>79</v>
      </c>
      <c r="G122" t="s">
        <v>23</v>
      </c>
      <c r="H122" t="s">
        <v>50</v>
      </c>
      <c r="I122" t="s">
        <v>153</v>
      </c>
      <c r="J122">
        <v>2874</v>
      </c>
      <c r="K122">
        <v>7.2</v>
      </c>
      <c r="L122">
        <v>20692.8</v>
      </c>
    </row>
    <row r="123" spans="1:12">
      <c r="A123" s="6">
        <v>44075</v>
      </c>
      <c r="B123">
        <v>100121</v>
      </c>
      <c r="C123" t="s">
        <v>543</v>
      </c>
      <c r="D123" t="s">
        <v>544</v>
      </c>
      <c r="E123" t="s">
        <v>545</v>
      </c>
      <c r="F123" t="s">
        <v>83</v>
      </c>
      <c r="G123" t="s">
        <v>23</v>
      </c>
      <c r="H123" t="s">
        <v>78</v>
      </c>
      <c r="I123" t="s">
        <v>315</v>
      </c>
      <c r="J123">
        <v>2255</v>
      </c>
      <c r="K123">
        <v>76.4</v>
      </c>
      <c r="L123">
        <v>172282</v>
      </c>
    </row>
    <row r="124" spans="1:12">
      <c r="A124" s="6">
        <v>44075</v>
      </c>
      <c r="B124">
        <v>100122</v>
      </c>
      <c r="C124" t="s">
        <v>547</v>
      </c>
      <c r="D124" t="s">
        <v>548</v>
      </c>
      <c r="E124" t="s">
        <v>549</v>
      </c>
      <c r="F124" t="s">
        <v>94</v>
      </c>
      <c r="G124" t="s">
        <v>23</v>
      </c>
      <c r="H124" t="s">
        <v>69</v>
      </c>
      <c r="I124" t="s">
        <v>112</v>
      </c>
      <c r="J124">
        <v>3863</v>
      </c>
      <c r="K124">
        <v>57.3</v>
      </c>
      <c r="L124">
        <v>221349.9</v>
      </c>
    </row>
    <row r="125" spans="1:12">
      <c r="A125" s="6">
        <v>44075</v>
      </c>
      <c r="B125">
        <v>100123</v>
      </c>
      <c r="C125" t="s">
        <v>551</v>
      </c>
      <c r="D125" t="s">
        <v>552</v>
      </c>
      <c r="E125" t="s">
        <v>553</v>
      </c>
      <c r="F125" t="s">
        <v>94</v>
      </c>
      <c r="G125" t="s">
        <v>23</v>
      </c>
      <c r="H125" t="s">
        <v>110</v>
      </c>
      <c r="I125" t="s">
        <v>172</v>
      </c>
      <c r="J125">
        <v>3116</v>
      </c>
      <c r="K125">
        <v>19</v>
      </c>
      <c r="L125">
        <v>59204</v>
      </c>
    </row>
    <row r="126" spans="1:12">
      <c r="A126" s="6">
        <v>44075</v>
      </c>
      <c r="B126">
        <v>100124</v>
      </c>
      <c r="C126" t="s">
        <v>555</v>
      </c>
      <c r="D126" t="s">
        <v>556</v>
      </c>
      <c r="E126" t="s">
        <v>557</v>
      </c>
      <c r="F126" t="s">
        <v>88</v>
      </c>
      <c r="G126" t="s">
        <v>23</v>
      </c>
      <c r="H126" t="s">
        <v>93</v>
      </c>
      <c r="I126" t="s">
        <v>139</v>
      </c>
      <c r="J126">
        <v>3053</v>
      </c>
      <c r="K126">
        <v>11.6</v>
      </c>
      <c r="L126">
        <v>35414.8</v>
      </c>
    </row>
    <row r="127" spans="1:12">
      <c r="A127" s="6">
        <v>44075</v>
      </c>
      <c r="B127">
        <v>100125</v>
      </c>
      <c r="C127" t="s">
        <v>559</v>
      </c>
      <c r="D127" t="s">
        <v>560</v>
      </c>
      <c r="E127" t="s">
        <v>561</v>
      </c>
      <c r="F127" t="s">
        <v>48</v>
      </c>
      <c r="G127" t="s">
        <v>23</v>
      </c>
      <c r="H127" t="s">
        <v>27</v>
      </c>
      <c r="I127" t="s">
        <v>114</v>
      </c>
      <c r="J127">
        <v>4562</v>
      </c>
      <c r="K127">
        <v>19.6</v>
      </c>
      <c r="L127">
        <v>89415.2</v>
      </c>
    </row>
  </sheetData>
  <autoFilter ref="A1:L127">
    <extLst/>
  </autoFilter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7"/>
  <sheetViews>
    <sheetView workbookViewId="0">
      <selection activeCell="F28" sqref="F28"/>
    </sheetView>
  </sheetViews>
  <sheetFormatPr defaultColWidth="9" defaultRowHeight="13.8"/>
  <cols>
    <col min="9" max="9" width="11" customWidth="1"/>
    <col min="12" max="12" width="10.1296296296296" customWidth="1"/>
  </cols>
  <sheetData>
    <row r="1" spans="1:12">
      <c r="A1" t="s">
        <v>564</v>
      </c>
      <c r="B1" t="s">
        <v>565</v>
      </c>
      <c r="C1" t="s">
        <v>1</v>
      </c>
      <c r="D1" t="s">
        <v>566</v>
      </c>
      <c r="E1" t="s">
        <v>567</v>
      </c>
      <c r="F1" t="s">
        <v>568</v>
      </c>
      <c r="G1" t="s">
        <v>2</v>
      </c>
      <c r="H1" t="s">
        <v>8</v>
      </c>
      <c r="I1" t="s">
        <v>12</v>
      </c>
      <c r="J1" t="s">
        <v>569</v>
      </c>
      <c r="K1" t="s">
        <v>570</v>
      </c>
      <c r="L1" t="s">
        <v>571</v>
      </c>
    </row>
    <row r="2" spans="1:12">
      <c r="A2" s="6">
        <v>44082</v>
      </c>
      <c r="B2" s="6">
        <v>44075</v>
      </c>
      <c r="C2">
        <v>100001</v>
      </c>
      <c r="D2" t="s">
        <v>572</v>
      </c>
      <c r="E2" t="s">
        <v>21</v>
      </c>
      <c r="F2" t="s">
        <v>22</v>
      </c>
      <c r="G2" t="s">
        <v>20</v>
      </c>
      <c r="H2" t="s">
        <v>112</v>
      </c>
      <c r="I2">
        <v>1309</v>
      </c>
      <c r="J2">
        <v>392.7</v>
      </c>
      <c r="K2">
        <v>314.16</v>
      </c>
      <c r="L2">
        <v>96.6</v>
      </c>
    </row>
    <row r="3" spans="1:12">
      <c r="A3" s="6">
        <v>44082</v>
      </c>
      <c r="B3" s="6">
        <v>44075</v>
      </c>
      <c r="C3">
        <v>100001</v>
      </c>
      <c r="D3" t="str">
        <f>IF(C3=C2,D2,"装"&amp;RIGHT(D2,4)+1)</f>
        <v>装1001</v>
      </c>
      <c r="E3" t="s">
        <v>21</v>
      </c>
      <c r="F3" t="s">
        <v>22</v>
      </c>
      <c r="G3" t="s">
        <v>20</v>
      </c>
      <c r="H3" t="s">
        <v>114</v>
      </c>
      <c r="I3">
        <v>3545</v>
      </c>
      <c r="J3">
        <v>2481.5</v>
      </c>
      <c r="K3">
        <v>2158.905</v>
      </c>
      <c r="L3">
        <v>424.08</v>
      </c>
    </row>
    <row r="4" spans="1:12">
      <c r="A4" s="6">
        <v>44082</v>
      </c>
      <c r="B4" s="6">
        <v>44075</v>
      </c>
      <c r="C4">
        <v>100002</v>
      </c>
      <c r="D4" t="str">
        <f t="shared" ref="D4:D67" si="0">IF(C4=C3,D3,"装"&amp;RIGHT(D3,4)+1)</f>
        <v>装1002</v>
      </c>
      <c r="E4" t="s">
        <v>116</v>
      </c>
      <c r="F4" t="s">
        <v>117</v>
      </c>
      <c r="G4" t="s">
        <v>115</v>
      </c>
      <c r="H4" t="s">
        <v>118</v>
      </c>
      <c r="I4">
        <v>1544</v>
      </c>
      <c r="J4">
        <v>154.4</v>
      </c>
      <c r="K4">
        <v>131.24</v>
      </c>
      <c r="L4">
        <v>194.97</v>
      </c>
    </row>
    <row r="5" spans="1:12">
      <c r="A5" s="6">
        <v>44082</v>
      </c>
      <c r="B5" s="6">
        <v>44075</v>
      </c>
      <c r="C5">
        <v>100003</v>
      </c>
      <c r="D5" t="str">
        <f t="shared" si="0"/>
        <v>装1003</v>
      </c>
      <c r="E5" t="s">
        <v>121</v>
      </c>
      <c r="F5" t="s">
        <v>122</v>
      </c>
      <c r="G5" t="s">
        <v>120</v>
      </c>
      <c r="H5" t="s">
        <v>123</v>
      </c>
      <c r="I5">
        <v>3389</v>
      </c>
      <c r="J5">
        <v>4066.8</v>
      </c>
      <c r="K5">
        <v>3253.44</v>
      </c>
      <c r="L5">
        <v>919.48</v>
      </c>
    </row>
    <row r="6" spans="1:12">
      <c r="A6" s="6">
        <v>44082</v>
      </c>
      <c r="B6" s="6">
        <v>44075</v>
      </c>
      <c r="C6">
        <v>100004</v>
      </c>
      <c r="D6" t="str">
        <f t="shared" si="0"/>
        <v>装1004</v>
      </c>
      <c r="E6" t="s">
        <v>126</v>
      </c>
      <c r="F6" t="s">
        <v>127</v>
      </c>
      <c r="G6" t="s">
        <v>125</v>
      </c>
      <c r="H6" t="s">
        <v>128</v>
      </c>
      <c r="I6">
        <v>2457</v>
      </c>
      <c r="J6">
        <v>7125.3</v>
      </c>
      <c r="K6">
        <v>6127.758</v>
      </c>
      <c r="L6">
        <v>271.86</v>
      </c>
    </row>
    <row r="7" spans="1:12">
      <c r="A7" s="6">
        <v>44082</v>
      </c>
      <c r="B7" s="6">
        <v>44075</v>
      </c>
      <c r="C7">
        <v>100005</v>
      </c>
      <c r="D7" t="str">
        <f t="shared" si="0"/>
        <v>装1005</v>
      </c>
      <c r="E7" t="s">
        <v>131</v>
      </c>
      <c r="F7" t="s">
        <v>132</v>
      </c>
      <c r="G7" t="s">
        <v>130</v>
      </c>
      <c r="H7" t="s">
        <v>118</v>
      </c>
      <c r="I7">
        <v>4350</v>
      </c>
      <c r="J7">
        <v>6960</v>
      </c>
      <c r="K7">
        <v>5707.2</v>
      </c>
      <c r="L7">
        <v>691.65</v>
      </c>
    </row>
    <row r="8" spans="1:12">
      <c r="A8" s="6">
        <v>44082</v>
      </c>
      <c r="B8" s="6">
        <v>44075</v>
      </c>
      <c r="C8">
        <v>100005</v>
      </c>
      <c r="D8" t="str">
        <f t="shared" si="0"/>
        <v>装1005</v>
      </c>
      <c r="E8" t="s">
        <v>131</v>
      </c>
      <c r="F8" t="s">
        <v>132</v>
      </c>
      <c r="G8" t="s">
        <v>130</v>
      </c>
      <c r="H8" t="s">
        <v>134</v>
      </c>
      <c r="I8">
        <v>4819</v>
      </c>
      <c r="J8">
        <v>16866.5</v>
      </c>
      <c r="K8">
        <v>14842.52</v>
      </c>
      <c r="L8">
        <v>300.56</v>
      </c>
    </row>
    <row r="9" spans="1:12">
      <c r="A9" s="6">
        <v>44082</v>
      </c>
      <c r="B9" s="6">
        <v>44075</v>
      </c>
      <c r="C9">
        <v>100005</v>
      </c>
      <c r="D9" t="str">
        <f t="shared" si="0"/>
        <v>装1005</v>
      </c>
      <c r="E9" t="s">
        <v>131</v>
      </c>
      <c r="F9" t="s">
        <v>132</v>
      </c>
      <c r="G9" t="s">
        <v>130</v>
      </c>
      <c r="H9" t="s">
        <v>135</v>
      </c>
      <c r="I9">
        <v>740</v>
      </c>
      <c r="J9">
        <v>2146</v>
      </c>
      <c r="K9">
        <v>1824.1</v>
      </c>
      <c r="L9">
        <v>134.4</v>
      </c>
    </row>
    <row r="10" spans="1:12">
      <c r="A10" s="6">
        <v>44082</v>
      </c>
      <c r="B10" s="6">
        <v>44075</v>
      </c>
      <c r="C10">
        <v>100008</v>
      </c>
      <c r="D10" t="str">
        <f t="shared" si="0"/>
        <v>装1006</v>
      </c>
      <c r="E10" t="s">
        <v>137</v>
      </c>
      <c r="F10" t="s">
        <v>138</v>
      </c>
      <c r="G10" t="s">
        <v>136</v>
      </c>
      <c r="H10" t="s">
        <v>139</v>
      </c>
      <c r="I10">
        <v>1491</v>
      </c>
      <c r="J10">
        <v>447.3</v>
      </c>
      <c r="K10">
        <v>371.259</v>
      </c>
      <c r="L10">
        <v>188.16</v>
      </c>
    </row>
    <row r="11" spans="1:12">
      <c r="A11" s="6">
        <v>44082</v>
      </c>
      <c r="B11" s="6">
        <v>44075</v>
      </c>
      <c r="C11">
        <v>100009</v>
      </c>
      <c r="D11" t="str">
        <f t="shared" si="0"/>
        <v>装1007</v>
      </c>
      <c r="E11" t="s">
        <v>142</v>
      </c>
      <c r="F11" t="s">
        <v>143</v>
      </c>
      <c r="G11" t="s">
        <v>141</v>
      </c>
      <c r="H11" t="s">
        <v>128</v>
      </c>
      <c r="I11">
        <v>960</v>
      </c>
      <c r="J11">
        <v>1152</v>
      </c>
      <c r="K11">
        <v>921.6</v>
      </c>
      <c r="L11">
        <v>87.36</v>
      </c>
    </row>
    <row r="12" spans="1:12">
      <c r="A12" s="6">
        <v>44082</v>
      </c>
      <c r="B12" s="6">
        <v>44075</v>
      </c>
      <c r="C12">
        <v>100010</v>
      </c>
      <c r="D12" t="str">
        <f t="shared" si="0"/>
        <v>装1008</v>
      </c>
      <c r="E12" t="s">
        <v>146</v>
      </c>
      <c r="F12" t="s">
        <v>147</v>
      </c>
      <c r="G12" t="s">
        <v>145</v>
      </c>
      <c r="H12" t="s">
        <v>148</v>
      </c>
      <c r="I12">
        <v>190</v>
      </c>
      <c r="J12">
        <v>760</v>
      </c>
      <c r="K12">
        <v>653.6</v>
      </c>
      <c r="L12">
        <v>25.8</v>
      </c>
    </row>
    <row r="13" spans="1:12">
      <c r="A13" s="6">
        <v>44082</v>
      </c>
      <c r="B13" s="6">
        <v>44075</v>
      </c>
      <c r="C13">
        <v>100011</v>
      </c>
      <c r="D13" t="str">
        <f t="shared" si="0"/>
        <v>装1009</v>
      </c>
      <c r="E13" t="s">
        <v>151</v>
      </c>
      <c r="F13" t="s">
        <v>152</v>
      </c>
      <c r="G13" t="s">
        <v>150</v>
      </c>
      <c r="H13" t="s">
        <v>153</v>
      </c>
      <c r="I13">
        <v>1591</v>
      </c>
      <c r="J13">
        <v>1431.9</v>
      </c>
      <c r="K13">
        <v>1159.839</v>
      </c>
      <c r="L13">
        <v>249.63</v>
      </c>
    </row>
    <row r="14" spans="1:12">
      <c r="A14" s="6">
        <v>44082</v>
      </c>
      <c r="B14" s="6">
        <v>44075</v>
      </c>
      <c r="C14">
        <v>100012</v>
      </c>
      <c r="D14" t="str">
        <f t="shared" si="0"/>
        <v>装1010</v>
      </c>
      <c r="E14" t="s">
        <v>156</v>
      </c>
      <c r="F14" t="s">
        <v>157</v>
      </c>
      <c r="G14" t="s">
        <v>155</v>
      </c>
      <c r="H14" t="s">
        <v>123</v>
      </c>
      <c r="I14">
        <v>3527</v>
      </c>
      <c r="J14">
        <v>5643.2</v>
      </c>
      <c r="K14">
        <v>4796.72</v>
      </c>
      <c r="L14">
        <v>841.11</v>
      </c>
    </row>
    <row r="15" spans="1:12">
      <c r="A15" s="6">
        <v>44082</v>
      </c>
      <c r="B15" s="6">
        <v>44075</v>
      </c>
      <c r="C15">
        <v>100013</v>
      </c>
      <c r="D15" t="str">
        <f t="shared" si="0"/>
        <v>装1011</v>
      </c>
      <c r="E15" t="s">
        <v>160</v>
      </c>
      <c r="F15" t="s">
        <v>161</v>
      </c>
      <c r="G15" t="s">
        <v>159</v>
      </c>
      <c r="H15" t="s">
        <v>162</v>
      </c>
      <c r="I15">
        <v>2824</v>
      </c>
      <c r="J15">
        <v>7907.2</v>
      </c>
      <c r="K15">
        <v>6404.832</v>
      </c>
      <c r="L15">
        <v>359.34</v>
      </c>
    </row>
    <row r="16" spans="1:12">
      <c r="A16" s="6">
        <v>44082</v>
      </c>
      <c r="B16" s="6">
        <v>44075</v>
      </c>
      <c r="C16">
        <v>100014</v>
      </c>
      <c r="D16" t="str">
        <f t="shared" si="0"/>
        <v>装1012</v>
      </c>
      <c r="E16" t="s">
        <v>165</v>
      </c>
      <c r="F16" t="s">
        <v>166</v>
      </c>
      <c r="G16" t="s">
        <v>164</v>
      </c>
      <c r="H16" t="s">
        <v>112</v>
      </c>
      <c r="I16">
        <v>4809</v>
      </c>
      <c r="J16">
        <v>16350.6</v>
      </c>
      <c r="K16">
        <v>13570.998</v>
      </c>
      <c r="L16">
        <v>909.09</v>
      </c>
    </row>
    <row r="17" spans="1:12">
      <c r="A17" s="6">
        <v>44082</v>
      </c>
      <c r="B17" s="6">
        <v>44075</v>
      </c>
      <c r="C17">
        <v>100015</v>
      </c>
      <c r="D17" t="str">
        <f t="shared" si="0"/>
        <v>装1013</v>
      </c>
      <c r="E17" t="s">
        <v>169</v>
      </c>
      <c r="F17" t="s">
        <v>170</v>
      </c>
      <c r="G17" t="s">
        <v>168</v>
      </c>
      <c r="H17" t="s">
        <v>148</v>
      </c>
      <c r="I17">
        <v>1688</v>
      </c>
      <c r="J17">
        <v>2025.6</v>
      </c>
      <c r="K17">
        <v>1640.736</v>
      </c>
      <c r="L17">
        <v>315.36</v>
      </c>
    </row>
    <row r="18" spans="1:12">
      <c r="A18" s="6">
        <v>44082</v>
      </c>
      <c r="B18" s="6">
        <v>44075</v>
      </c>
      <c r="C18">
        <v>100015</v>
      </c>
      <c r="D18" t="str">
        <f t="shared" si="0"/>
        <v>装1013</v>
      </c>
      <c r="E18" t="s">
        <v>169</v>
      </c>
      <c r="F18" t="s">
        <v>170</v>
      </c>
      <c r="G18" t="s">
        <v>168</v>
      </c>
      <c r="H18" t="s">
        <v>172</v>
      </c>
      <c r="I18">
        <v>4164</v>
      </c>
      <c r="J18">
        <v>3331.2</v>
      </c>
      <c r="K18">
        <v>2898.144</v>
      </c>
      <c r="L18">
        <v>260</v>
      </c>
    </row>
    <row r="19" spans="1:12">
      <c r="A19" s="6">
        <v>44082</v>
      </c>
      <c r="B19" s="6">
        <v>44075</v>
      </c>
      <c r="C19">
        <v>100017</v>
      </c>
      <c r="D19" t="str">
        <f t="shared" si="0"/>
        <v>装1014</v>
      </c>
      <c r="E19" t="s">
        <v>174</v>
      </c>
      <c r="F19" t="s">
        <v>175</v>
      </c>
      <c r="G19" t="s">
        <v>173</v>
      </c>
      <c r="H19" t="s">
        <v>134</v>
      </c>
      <c r="I19">
        <v>3624</v>
      </c>
      <c r="J19">
        <v>12684</v>
      </c>
      <c r="K19">
        <v>10781.4</v>
      </c>
      <c r="L19">
        <v>698.66</v>
      </c>
    </row>
    <row r="20" spans="1:12">
      <c r="A20" s="6">
        <v>44082</v>
      </c>
      <c r="B20" s="6">
        <v>44075</v>
      </c>
      <c r="C20">
        <v>100018</v>
      </c>
      <c r="D20" t="str">
        <f t="shared" si="0"/>
        <v>装1015</v>
      </c>
      <c r="E20" t="s">
        <v>178</v>
      </c>
      <c r="F20" t="s">
        <v>179</v>
      </c>
      <c r="G20" t="s">
        <v>177</v>
      </c>
      <c r="H20" t="s">
        <v>180</v>
      </c>
      <c r="I20">
        <v>1704</v>
      </c>
      <c r="J20">
        <v>4260</v>
      </c>
      <c r="K20">
        <v>3535.8</v>
      </c>
      <c r="L20">
        <v>289.28</v>
      </c>
    </row>
    <row r="21" spans="1:12">
      <c r="A21" s="6">
        <v>44082</v>
      </c>
      <c r="B21" s="6">
        <v>44075</v>
      </c>
      <c r="C21">
        <v>100019</v>
      </c>
      <c r="D21" t="str">
        <f t="shared" si="0"/>
        <v>装1016</v>
      </c>
      <c r="E21" t="s">
        <v>183</v>
      </c>
      <c r="F21" t="s">
        <v>184</v>
      </c>
      <c r="G21" t="s">
        <v>182</v>
      </c>
      <c r="H21" t="s">
        <v>180</v>
      </c>
      <c r="I21">
        <v>2724</v>
      </c>
      <c r="J21">
        <v>1362</v>
      </c>
      <c r="K21">
        <v>1144.08</v>
      </c>
      <c r="L21">
        <v>392.94</v>
      </c>
    </row>
    <row r="22" spans="1:12">
      <c r="A22" s="6">
        <v>44082</v>
      </c>
      <c r="B22" s="6">
        <v>44075</v>
      </c>
      <c r="C22">
        <v>100020</v>
      </c>
      <c r="D22" t="str">
        <f t="shared" si="0"/>
        <v>装1017</v>
      </c>
      <c r="E22" t="s">
        <v>187</v>
      </c>
      <c r="F22" t="s">
        <v>188</v>
      </c>
      <c r="G22" t="s">
        <v>186</v>
      </c>
      <c r="H22" t="s">
        <v>189</v>
      </c>
      <c r="I22">
        <v>2102</v>
      </c>
      <c r="J22">
        <v>4834.6</v>
      </c>
      <c r="K22">
        <v>3916.026</v>
      </c>
      <c r="L22">
        <v>348.81</v>
      </c>
    </row>
    <row r="23" spans="1:12">
      <c r="A23" s="6">
        <v>44082</v>
      </c>
      <c r="B23" s="6">
        <v>44075</v>
      </c>
      <c r="C23">
        <v>100021</v>
      </c>
      <c r="D23" t="str">
        <f t="shared" si="0"/>
        <v>装1018</v>
      </c>
      <c r="E23" t="s">
        <v>192</v>
      </c>
      <c r="F23" t="s">
        <v>193</v>
      </c>
      <c r="G23" t="s">
        <v>191</v>
      </c>
      <c r="H23" t="s">
        <v>194</v>
      </c>
      <c r="I23">
        <v>4600</v>
      </c>
      <c r="J23">
        <v>1840</v>
      </c>
      <c r="K23">
        <v>1619.2</v>
      </c>
      <c r="L23">
        <v>876.3</v>
      </c>
    </row>
    <row r="24" spans="1:12">
      <c r="A24" s="6">
        <v>44082</v>
      </c>
      <c r="B24" s="6">
        <v>44075</v>
      </c>
      <c r="C24">
        <v>100022</v>
      </c>
      <c r="D24" t="str">
        <f t="shared" si="0"/>
        <v>装1019</v>
      </c>
      <c r="E24" t="s">
        <v>197</v>
      </c>
      <c r="F24" t="s">
        <v>198</v>
      </c>
      <c r="G24" t="s">
        <v>196</v>
      </c>
      <c r="H24" t="s">
        <v>199</v>
      </c>
      <c r="I24">
        <v>495</v>
      </c>
      <c r="J24">
        <v>1188</v>
      </c>
      <c r="K24">
        <v>997.92</v>
      </c>
      <c r="L24">
        <v>38.8</v>
      </c>
    </row>
    <row r="25" spans="1:12">
      <c r="A25" s="6">
        <v>44082</v>
      </c>
      <c r="B25" s="6">
        <v>44075</v>
      </c>
      <c r="C25">
        <v>100023</v>
      </c>
      <c r="D25" t="str">
        <f t="shared" si="0"/>
        <v>装1020</v>
      </c>
      <c r="E25" t="s">
        <v>202</v>
      </c>
      <c r="F25" t="s">
        <v>203</v>
      </c>
      <c r="G25" t="s">
        <v>201</v>
      </c>
      <c r="H25" t="s">
        <v>204</v>
      </c>
      <c r="I25">
        <v>1838</v>
      </c>
      <c r="J25">
        <v>1654.2</v>
      </c>
      <c r="K25">
        <v>1356.444</v>
      </c>
      <c r="L25">
        <v>142.6</v>
      </c>
    </row>
    <row r="26" spans="1:12">
      <c r="A26" s="6">
        <v>44082</v>
      </c>
      <c r="B26" s="6">
        <v>44075</v>
      </c>
      <c r="C26">
        <v>100024</v>
      </c>
      <c r="D26" t="str">
        <f t="shared" si="0"/>
        <v>装1021</v>
      </c>
      <c r="E26" t="s">
        <v>207</v>
      </c>
      <c r="F26" t="s">
        <v>208</v>
      </c>
      <c r="G26" t="s">
        <v>206</v>
      </c>
      <c r="H26" t="s">
        <v>135</v>
      </c>
      <c r="I26">
        <v>3506</v>
      </c>
      <c r="J26">
        <v>2804.8</v>
      </c>
      <c r="K26">
        <v>2496.272</v>
      </c>
      <c r="L26">
        <v>410.4</v>
      </c>
    </row>
    <row r="27" spans="1:12">
      <c r="A27" s="6">
        <v>44082</v>
      </c>
      <c r="B27" s="6">
        <v>44075</v>
      </c>
      <c r="C27">
        <v>100025</v>
      </c>
      <c r="D27" t="str">
        <f t="shared" si="0"/>
        <v>装1022</v>
      </c>
      <c r="E27" t="s">
        <v>211</v>
      </c>
      <c r="F27" t="s">
        <v>212</v>
      </c>
      <c r="G27" t="s">
        <v>210</v>
      </c>
      <c r="H27" t="s">
        <v>213</v>
      </c>
      <c r="I27">
        <v>2928</v>
      </c>
      <c r="J27">
        <v>6734.4</v>
      </c>
      <c r="K27">
        <v>5454.864</v>
      </c>
      <c r="L27">
        <v>360.39</v>
      </c>
    </row>
    <row r="28" spans="1:12">
      <c r="A28" s="6">
        <v>44082</v>
      </c>
      <c r="B28" s="6">
        <v>44075</v>
      </c>
      <c r="C28">
        <v>100026</v>
      </c>
      <c r="D28" t="str">
        <f t="shared" si="0"/>
        <v>装1023</v>
      </c>
      <c r="E28" t="s">
        <v>216</v>
      </c>
      <c r="F28" t="s">
        <v>217</v>
      </c>
      <c r="G28" t="s">
        <v>215</v>
      </c>
      <c r="H28" t="s">
        <v>218</v>
      </c>
      <c r="I28">
        <v>2356</v>
      </c>
      <c r="J28">
        <v>1178</v>
      </c>
      <c r="K28">
        <v>954.18</v>
      </c>
      <c r="L28">
        <v>650.1</v>
      </c>
    </row>
    <row r="29" spans="1:12">
      <c r="A29" s="6">
        <v>44082</v>
      </c>
      <c r="B29" s="6">
        <v>44075</v>
      </c>
      <c r="C29">
        <v>100027</v>
      </c>
      <c r="D29" t="str">
        <f t="shared" si="0"/>
        <v>装1024</v>
      </c>
      <c r="E29" t="s">
        <v>221</v>
      </c>
      <c r="F29" t="s">
        <v>222</v>
      </c>
      <c r="G29" t="s">
        <v>220</v>
      </c>
      <c r="H29" t="s">
        <v>112</v>
      </c>
      <c r="I29">
        <v>1050</v>
      </c>
      <c r="J29">
        <v>3255</v>
      </c>
      <c r="K29">
        <v>2896.95</v>
      </c>
      <c r="L29">
        <v>98.58</v>
      </c>
    </row>
    <row r="30" spans="1:12">
      <c r="A30" s="6">
        <v>44082</v>
      </c>
      <c r="B30" s="6">
        <v>44075</v>
      </c>
      <c r="C30">
        <v>100028</v>
      </c>
      <c r="D30" t="str">
        <f t="shared" si="0"/>
        <v>装1025</v>
      </c>
      <c r="E30" t="s">
        <v>225</v>
      </c>
      <c r="F30" t="s">
        <v>226</v>
      </c>
      <c r="G30" t="s">
        <v>224</v>
      </c>
      <c r="H30" t="s">
        <v>227</v>
      </c>
      <c r="I30">
        <v>4336</v>
      </c>
      <c r="J30">
        <v>5203.2</v>
      </c>
      <c r="K30">
        <v>4162.56</v>
      </c>
      <c r="L30">
        <v>374.4</v>
      </c>
    </row>
    <row r="31" spans="1:12">
      <c r="A31" s="6">
        <v>44082</v>
      </c>
      <c r="B31" s="6">
        <v>44075</v>
      </c>
      <c r="C31">
        <v>100029</v>
      </c>
      <c r="D31" t="str">
        <f t="shared" si="0"/>
        <v>装1026</v>
      </c>
      <c r="E31" t="s">
        <v>230</v>
      </c>
      <c r="F31" t="s">
        <v>231</v>
      </c>
      <c r="G31" t="s">
        <v>229</v>
      </c>
      <c r="H31" t="s">
        <v>232</v>
      </c>
      <c r="I31">
        <v>4881</v>
      </c>
      <c r="J31">
        <v>14154.9</v>
      </c>
      <c r="K31">
        <v>12173.214</v>
      </c>
      <c r="L31">
        <v>473.36</v>
      </c>
    </row>
    <row r="32" spans="1:12">
      <c r="A32" s="6">
        <v>44082</v>
      </c>
      <c r="B32" s="6">
        <v>44075</v>
      </c>
      <c r="C32">
        <v>100029</v>
      </c>
      <c r="D32" t="str">
        <f t="shared" si="0"/>
        <v>装1026</v>
      </c>
      <c r="E32" t="s">
        <v>230</v>
      </c>
      <c r="F32" t="s">
        <v>231</v>
      </c>
      <c r="G32" t="s">
        <v>229</v>
      </c>
      <c r="H32" t="s">
        <v>213</v>
      </c>
      <c r="I32">
        <v>3222</v>
      </c>
      <c r="J32">
        <v>6766.2</v>
      </c>
      <c r="K32">
        <v>5751.27</v>
      </c>
      <c r="L32">
        <v>908.04</v>
      </c>
    </row>
    <row r="33" spans="1:12">
      <c r="A33" s="6">
        <v>44082</v>
      </c>
      <c r="B33" s="6">
        <v>44075</v>
      </c>
      <c r="C33">
        <v>100029</v>
      </c>
      <c r="D33" t="str">
        <f t="shared" si="0"/>
        <v>装1026</v>
      </c>
      <c r="E33" t="s">
        <v>230</v>
      </c>
      <c r="F33" t="s">
        <v>231</v>
      </c>
      <c r="G33" t="s">
        <v>229</v>
      </c>
      <c r="H33" t="s">
        <v>234</v>
      </c>
      <c r="I33">
        <v>4414</v>
      </c>
      <c r="J33">
        <v>7062.4</v>
      </c>
      <c r="K33">
        <v>5649.92</v>
      </c>
      <c r="L33">
        <v>565.47</v>
      </c>
    </row>
    <row r="34" spans="1:12">
      <c r="A34" s="6">
        <v>44082</v>
      </c>
      <c r="B34" s="6">
        <v>44075</v>
      </c>
      <c r="C34">
        <v>100029</v>
      </c>
      <c r="D34" t="str">
        <f t="shared" si="0"/>
        <v>装1026</v>
      </c>
      <c r="E34" t="s">
        <v>230</v>
      </c>
      <c r="F34" t="s">
        <v>231</v>
      </c>
      <c r="G34" t="s">
        <v>229</v>
      </c>
      <c r="H34" t="s">
        <v>199</v>
      </c>
      <c r="I34">
        <v>3380</v>
      </c>
      <c r="J34">
        <v>9126</v>
      </c>
      <c r="K34">
        <v>8122.14</v>
      </c>
      <c r="L34">
        <v>666.93</v>
      </c>
    </row>
    <row r="35" spans="1:12">
      <c r="A35" s="6">
        <v>44082</v>
      </c>
      <c r="B35" s="6">
        <v>44075</v>
      </c>
      <c r="C35">
        <v>100033</v>
      </c>
      <c r="D35" t="str">
        <f t="shared" si="0"/>
        <v>装1027</v>
      </c>
      <c r="E35" t="s">
        <v>236</v>
      </c>
      <c r="F35" t="s">
        <v>237</v>
      </c>
      <c r="G35" t="s">
        <v>235</v>
      </c>
      <c r="H35" t="s">
        <v>112</v>
      </c>
      <c r="I35">
        <v>2184</v>
      </c>
      <c r="J35">
        <v>3057.6</v>
      </c>
      <c r="K35">
        <v>2476.656</v>
      </c>
      <c r="L35">
        <v>360.68</v>
      </c>
    </row>
    <row r="36" spans="1:12">
      <c r="A36" s="6">
        <v>44082</v>
      </c>
      <c r="B36" s="6">
        <v>44075</v>
      </c>
      <c r="C36">
        <v>100034</v>
      </c>
      <c r="D36" t="str">
        <f t="shared" si="0"/>
        <v>装1028</v>
      </c>
      <c r="E36" t="s">
        <v>240</v>
      </c>
      <c r="F36" t="s">
        <v>241</v>
      </c>
      <c r="G36" t="s">
        <v>239</v>
      </c>
      <c r="H36" t="s">
        <v>189</v>
      </c>
      <c r="I36">
        <v>2145</v>
      </c>
      <c r="J36">
        <v>7078.5</v>
      </c>
      <c r="K36">
        <v>5733.585</v>
      </c>
      <c r="L36">
        <v>174.15</v>
      </c>
    </row>
    <row r="37" spans="1:12">
      <c r="A37" s="6">
        <v>44082</v>
      </c>
      <c r="B37" s="6">
        <v>44075</v>
      </c>
      <c r="C37">
        <v>100035</v>
      </c>
      <c r="D37" t="str">
        <f t="shared" si="0"/>
        <v>装1029</v>
      </c>
      <c r="E37" t="s">
        <v>244</v>
      </c>
      <c r="F37" t="s">
        <v>245</v>
      </c>
      <c r="G37" t="s">
        <v>243</v>
      </c>
      <c r="H37" t="s">
        <v>134</v>
      </c>
      <c r="I37">
        <v>118</v>
      </c>
      <c r="J37">
        <v>401.2</v>
      </c>
      <c r="K37">
        <v>353.056</v>
      </c>
      <c r="L37">
        <v>11.7</v>
      </c>
    </row>
    <row r="38" spans="1:12">
      <c r="A38" s="6">
        <v>44082</v>
      </c>
      <c r="B38" s="6">
        <v>44075</v>
      </c>
      <c r="C38">
        <v>100036</v>
      </c>
      <c r="D38" t="str">
        <f t="shared" si="0"/>
        <v>装1030</v>
      </c>
      <c r="E38" t="s">
        <v>248</v>
      </c>
      <c r="F38" t="s">
        <v>249</v>
      </c>
      <c r="G38" t="s">
        <v>247</v>
      </c>
      <c r="H38" t="s">
        <v>134</v>
      </c>
      <c r="I38">
        <v>1331</v>
      </c>
      <c r="J38">
        <v>1197.9</v>
      </c>
      <c r="K38">
        <v>970.299</v>
      </c>
      <c r="L38">
        <v>208.82</v>
      </c>
    </row>
    <row r="39" spans="1:12">
      <c r="A39" s="6">
        <v>44082</v>
      </c>
      <c r="B39" s="6">
        <v>44075</v>
      </c>
      <c r="C39">
        <v>100037</v>
      </c>
      <c r="D39" t="str">
        <f t="shared" si="0"/>
        <v>装1031</v>
      </c>
      <c r="E39" t="s">
        <v>252</v>
      </c>
      <c r="F39" t="s">
        <v>253</v>
      </c>
      <c r="G39" t="s">
        <v>251</v>
      </c>
      <c r="H39" t="s">
        <v>232</v>
      </c>
      <c r="I39">
        <v>4095</v>
      </c>
      <c r="J39">
        <v>14742</v>
      </c>
      <c r="K39">
        <v>12383.28</v>
      </c>
      <c r="L39">
        <v>391.14</v>
      </c>
    </row>
    <row r="40" spans="1:12">
      <c r="A40" s="6">
        <v>44082</v>
      </c>
      <c r="B40" s="6">
        <v>44075</v>
      </c>
      <c r="C40">
        <v>100038</v>
      </c>
      <c r="D40" t="str">
        <f t="shared" si="0"/>
        <v>装1032</v>
      </c>
      <c r="E40" t="s">
        <v>256</v>
      </c>
      <c r="F40" t="s">
        <v>257</v>
      </c>
      <c r="G40" t="s">
        <v>255</v>
      </c>
      <c r="H40" t="s">
        <v>112</v>
      </c>
      <c r="I40">
        <v>1123</v>
      </c>
      <c r="J40">
        <v>1123</v>
      </c>
      <c r="K40">
        <v>1010.7</v>
      </c>
      <c r="L40">
        <v>126.48</v>
      </c>
    </row>
    <row r="41" spans="1:12">
      <c r="A41" s="6">
        <v>44082</v>
      </c>
      <c r="B41" s="6">
        <v>44075</v>
      </c>
      <c r="C41">
        <v>100039</v>
      </c>
      <c r="D41" t="str">
        <f t="shared" si="0"/>
        <v>装1033</v>
      </c>
      <c r="E41" t="s">
        <v>260</v>
      </c>
      <c r="F41" t="s">
        <v>261</v>
      </c>
      <c r="G41" t="s">
        <v>259</v>
      </c>
      <c r="H41" t="s">
        <v>213</v>
      </c>
      <c r="I41">
        <v>2932</v>
      </c>
      <c r="J41">
        <v>11728</v>
      </c>
      <c r="K41">
        <v>9499.68</v>
      </c>
      <c r="L41">
        <v>196.98</v>
      </c>
    </row>
    <row r="42" spans="1:12">
      <c r="A42" s="6">
        <v>44082</v>
      </c>
      <c r="B42" s="6">
        <v>44075</v>
      </c>
      <c r="C42">
        <v>100039</v>
      </c>
      <c r="D42" t="str">
        <f t="shared" si="0"/>
        <v>装1033</v>
      </c>
      <c r="E42" t="s">
        <v>260</v>
      </c>
      <c r="F42" t="s">
        <v>261</v>
      </c>
      <c r="G42" t="s">
        <v>259</v>
      </c>
      <c r="H42" t="s">
        <v>180</v>
      </c>
      <c r="I42">
        <v>1113</v>
      </c>
      <c r="J42">
        <v>667.8</v>
      </c>
      <c r="K42">
        <v>560.952</v>
      </c>
      <c r="L42">
        <v>198.32</v>
      </c>
    </row>
    <row r="43" spans="1:12">
      <c r="A43" s="6">
        <v>44082</v>
      </c>
      <c r="B43" s="6">
        <v>44075</v>
      </c>
      <c r="C43">
        <v>100041</v>
      </c>
      <c r="D43" t="str">
        <f t="shared" si="0"/>
        <v>装1034</v>
      </c>
      <c r="E43" t="s">
        <v>264</v>
      </c>
      <c r="F43" t="s">
        <v>265</v>
      </c>
      <c r="G43" t="s">
        <v>263</v>
      </c>
      <c r="H43" t="s">
        <v>148</v>
      </c>
      <c r="I43">
        <v>4521</v>
      </c>
      <c r="J43">
        <v>4973.1</v>
      </c>
      <c r="K43">
        <v>4127.673</v>
      </c>
      <c r="L43">
        <v>766.14</v>
      </c>
    </row>
    <row r="44" spans="1:12">
      <c r="A44" s="6">
        <v>44082</v>
      </c>
      <c r="B44" s="6">
        <v>44075</v>
      </c>
      <c r="C44">
        <v>100042</v>
      </c>
      <c r="D44" t="str">
        <f t="shared" si="0"/>
        <v>装1035</v>
      </c>
      <c r="E44" t="s">
        <v>268</v>
      </c>
      <c r="F44" t="s">
        <v>269</v>
      </c>
      <c r="G44" t="s">
        <v>267</v>
      </c>
      <c r="H44" t="s">
        <v>139</v>
      </c>
      <c r="I44">
        <v>111</v>
      </c>
      <c r="J44">
        <v>166.5</v>
      </c>
      <c r="K44">
        <v>134.865</v>
      </c>
      <c r="L44">
        <v>19.21</v>
      </c>
    </row>
    <row r="45" spans="1:12">
      <c r="A45" s="6">
        <v>44082</v>
      </c>
      <c r="B45" s="6">
        <v>44075</v>
      </c>
      <c r="C45">
        <v>100043</v>
      </c>
      <c r="D45" t="str">
        <f t="shared" si="0"/>
        <v>装1036</v>
      </c>
      <c r="E45" t="s">
        <v>272</v>
      </c>
      <c r="F45" t="s">
        <v>273</v>
      </c>
      <c r="G45" t="s">
        <v>271</v>
      </c>
      <c r="H45" t="s">
        <v>274</v>
      </c>
      <c r="I45">
        <v>4959</v>
      </c>
      <c r="J45">
        <v>5950.8</v>
      </c>
      <c r="K45">
        <v>4879.656</v>
      </c>
      <c r="L45">
        <v>283.1</v>
      </c>
    </row>
    <row r="46" spans="1:12">
      <c r="A46" s="6">
        <v>44082</v>
      </c>
      <c r="B46" s="6">
        <v>44075</v>
      </c>
      <c r="C46">
        <v>100044</v>
      </c>
      <c r="D46" t="str">
        <f t="shared" si="0"/>
        <v>装1037</v>
      </c>
      <c r="E46" t="s">
        <v>277</v>
      </c>
      <c r="F46" t="s">
        <v>278</v>
      </c>
      <c r="G46" t="s">
        <v>276</v>
      </c>
      <c r="H46" t="s">
        <v>135</v>
      </c>
      <c r="I46">
        <v>4806</v>
      </c>
      <c r="J46">
        <v>16340.4</v>
      </c>
      <c r="K46">
        <v>13235.724</v>
      </c>
      <c r="L46">
        <v>541.44</v>
      </c>
    </row>
    <row r="47" spans="1:12">
      <c r="A47" s="6">
        <v>44082</v>
      </c>
      <c r="B47" s="6">
        <v>44075</v>
      </c>
      <c r="C47">
        <v>100045</v>
      </c>
      <c r="D47" t="str">
        <f t="shared" si="0"/>
        <v>装1038</v>
      </c>
      <c r="E47" t="s">
        <v>281</v>
      </c>
      <c r="F47" t="s">
        <v>282</v>
      </c>
      <c r="G47" t="s">
        <v>280</v>
      </c>
      <c r="H47" t="s">
        <v>227</v>
      </c>
      <c r="I47">
        <v>701</v>
      </c>
      <c r="J47">
        <v>280.4</v>
      </c>
      <c r="K47">
        <v>224.32</v>
      </c>
      <c r="L47">
        <v>82.32</v>
      </c>
    </row>
    <row r="48" spans="1:12">
      <c r="A48" s="6">
        <v>44082</v>
      </c>
      <c r="B48" s="6">
        <v>44075</v>
      </c>
      <c r="C48">
        <v>100045</v>
      </c>
      <c r="D48" t="str">
        <f t="shared" si="0"/>
        <v>装1038</v>
      </c>
      <c r="E48" t="s">
        <v>281</v>
      </c>
      <c r="F48" t="s">
        <v>282</v>
      </c>
      <c r="G48" t="s">
        <v>280</v>
      </c>
      <c r="H48" t="s">
        <v>112</v>
      </c>
      <c r="I48">
        <v>3504</v>
      </c>
      <c r="J48">
        <v>12964.8</v>
      </c>
      <c r="K48">
        <v>10371.84</v>
      </c>
      <c r="L48">
        <v>684</v>
      </c>
    </row>
    <row r="49" spans="1:12">
      <c r="A49" s="6">
        <v>44082</v>
      </c>
      <c r="B49" s="6">
        <v>44075</v>
      </c>
      <c r="C49">
        <v>100047</v>
      </c>
      <c r="D49" t="str">
        <f t="shared" si="0"/>
        <v>装1039</v>
      </c>
      <c r="E49" t="s">
        <v>285</v>
      </c>
      <c r="F49" t="s">
        <v>286</v>
      </c>
      <c r="G49" t="s">
        <v>284</v>
      </c>
      <c r="H49" t="s">
        <v>234</v>
      </c>
      <c r="I49">
        <v>4375</v>
      </c>
      <c r="J49">
        <v>4812.5</v>
      </c>
      <c r="K49">
        <v>3898.125</v>
      </c>
      <c r="L49">
        <v>631.39</v>
      </c>
    </row>
    <row r="50" spans="1:12">
      <c r="A50" s="6">
        <v>44082</v>
      </c>
      <c r="B50" s="6">
        <v>44075</v>
      </c>
      <c r="C50">
        <v>100048</v>
      </c>
      <c r="D50" t="str">
        <f t="shared" si="0"/>
        <v>装1040</v>
      </c>
      <c r="E50" t="s">
        <v>289</v>
      </c>
      <c r="F50" t="s">
        <v>290</v>
      </c>
      <c r="G50" t="s">
        <v>288</v>
      </c>
      <c r="H50" t="s">
        <v>199</v>
      </c>
      <c r="I50">
        <v>2291</v>
      </c>
      <c r="J50">
        <v>5956.6</v>
      </c>
      <c r="K50">
        <v>5122.676</v>
      </c>
      <c r="L50">
        <v>344.02</v>
      </c>
    </row>
    <row r="51" spans="1:12">
      <c r="A51" s="6">
        <v>44082</v>
      </c>
      <c r="B51" s="6">
        <v>44075</v>
      </c>
      <c r="C51">
        <v>100049</v>
      </c>
      <c r="D51" t="str">
        <f t="shared" si="0"/>
        <v>装1041</v>
      </c>
      <c r="E51" t="s">
        <v>293</v>
      </c>
      <c r="F51" t="s">
        <v>294</v>
      </c>
      <c r="G51" t="s">
        <v>292</v>
      </c>
      <c r="H51" t="s">
        <v>123</v>
      </c>
      <c r="I51">
        <v>4354</v>
      </c>
      <c r="J51">
        <v>1306.2</v>
      </c>
      <c r="K51">
        <v>1058.022</v>
      </c>
      <c r="L51">
        <v>470.4</v>
      </c>
    </row>
    <row r="52" spans="1:12">
      <c r="A52" s="6">
        <v>44082</v>
      </c>
      <c r="B52" s="6">
        <v>44075</v>
      </c>
      <c r="C52">
        <v>100050</v>
      </c>
      <c r="D52" t="str">
        <f t="shared" si="0"/>
        <v>装1042</v>
      </c>
      <c r="E52" t="s">
        <v>297</v>
      </c>
      <c r="F52" t="s">
        <v>298</v>
      </c>
      <c r="G52" t="s">
        <v>296</v>
      </c>
      <c r="H52" t="s">
        <v>162</v>
      </c>
      <c r="I52">
        <v>2209</v>
      </c>
      <c r="J52">
        <v>8836</v>
      </c>
      <c r="K52">
        <v>7952.4</v>
      </c>
      <c r="L52">
        <v>130.2</v>
      </c>
    </row>
    <row r="53" spans="1:12">
      <c r="A53" s="6">
        <v>44082</v>
      </c>
      <c r="B53" s="6">
        <v>44075</v>
      </c>
      <c r="C53">
        <v>100050</v>
      </c>
      <c r="D53" t="str">
        <f t="shared" si="0"/>
        <v>装1042</v>
      </c>
      <c r="E53" t="s">
        <v>297</v>
      </c>
      <c r="F53" t="s">
        <v>298</v>
      </c>
      <c r="G53" t="s">
        <v>296</v>
      </c>
      <c r="H53" t="s">
        <v>180</v>
      </c>
      <c r="I53">
        <v>1657</v>
      </c>
      <c r="J53">
        <v>1822.7</v>
      </c>
      <c r="K53">
        <v>1531.068</v>
      </c>
      <c r="L53">
        <v>306.24</v>
      </c>
    </row>
    <row r="54" spans="1:12">
      <c r="A54" s="6">
        <v>44082</v>
      </c>
      <c r="B54" s="6">
        <v>44075</v>
      </c>
      <c r="C54">
        <v>100052</v>
      </c>
      <c r="D54" t="str">
        <f t="shared" si="0"/>
        <v>装1043</v>
      </c>
      <c r="E54" t="s">
        <v>301</v>
      </c>
      <c r="F54" t="s">
        <v>302</v>
      </c>
      <c r="G54" t="s">
        <v>300</v>
      </c>
      <c r="H54" t="s">
        <v>199</v>
      </c>
      <c r="I54">
        <v>1581</v>
      </c>
      <c r="J54">
        <v>5059.2</v>
      </c>
      <c r="K54">
        <v>4249.728</v>
      </c>
      <c r="L54">
        <v>90.25</v>
      </c>
    </row>
    <row r="55" spans="1:12">
      <c r="A55" s="6">
        <v>44082</v>
      </c>
      <c r="B55" s="6">
        <v>44075</v>
      </c>
      <c r="C55">
        <v>100053</v>
      </c>
      <c r="D55" t="str">
        <f t="shared" si="0"/>
        <v>装1044</v>
      </c>
      <c r="E55" t="s">
        <v>305</v>
      </c>
      <c r="F55" t="s">
        <v>306</v>
      </c>
      <c r="G55" t="s">
        <v>304</v>
      </c>
      <c r="H55" t="s">
        <v>162</v>
      </c>
      <c r="I55">
        <v>2946</v>
      </c>
      <c r="J55">
        <v>10311</v>
      </c>
      <c r="K55">
        <v>9073.68</v>
      </c>
      <c r="L55">
        <v>292.05</v>
      </c>
    </row>
    <row r="56" spans="1:12">
      <c r="A56" s="6">
        <v>44082</v>
      </c>
      <c r="B56" s="6">
        <v>44075</v>
      </c>
      <c r="C56">
        <v>100054</v>
      </c>
      <c r="D56" t="str">
        <f t="shared" si="0"/>
        <v>装1045</v>
      </c>
      <c r="E56" t="s">
        <v>309</v>
      </c>
      <c r="F56" t="s">
        <v>310</v>
      </c>
      <c r="G56" t="s">
        <v>308</v>
      </c>
      <c r="H56" t="s">
        <v>128</v>
      </c>
      <c r="I56">
        <v>4858</v>
      </c>
      <c r="J56">
        <v>10687.6</v>
      </c>
      <c r="K56">
        <v>8977.584</v>
      </c>
      <c r="L56">
        <v>875.76</v>
      </c>
    </row>
    <row r="57" spans="1:12">
      <c r="A57" s="6">
        <v>44082</v>
      </c>
      <c r="B57" s="6">
        <v>44075</v>
      </c>
      <c r="C57">
        <v>100055</v>
      </c>
      <c r="D57" t="str">
        <f t="shared" si="0"/>
        <v>装1046</v>
      </c>
      <c r="E57" t="s">
        <v>313</v>
      </c>
      <c r="F57" t="s">
        <v>314</v>
      </c>
      <c r="G57" t="s">
        <v>312</v>
      </c>
      <c r="H57" t="s">
        <v>315</v>
      </c>
      <c r="I57">
        <v>1894</v>
      </c>
      <c r="J57">
        <v>2083.4</v>
      </c>
      <c r="K57">
        <v>1750.056</v>
      </c>
      <c r="L57">
        <v>152</v>
      </c>
    </row>
    <row r="58" spans="1:12">
      <c r="A58" s="6">
        <v>44082</v>
      </c>
      <c r="B58" s="6">
        <v>44075</v>
      </c>
      <c r="C58">
        <v>100056</v>
      </c>
      <c r="D58" t="str">
        <f t="shared" si="0"/>
        <v>装1047</v>
      </c>
      <c r="E58" t="s">
        <v>318</v>
      </c>
      <c r="F58" t="s">
        <v>319</v>
      </c>
      <c r="G58" t="s">
        <v>317</v>
      </c>
      <c r="H58" t="s">
        <v>148</v>
      </c>
      <c r="I58">
        <v>4862</v>
      </c>
      <c r="J58">
        <v>2917.2</v>
      </c>
      <c r="K58">
        <v>2450.448</v>
      </c>
      <c r="L58">
        <v>499.32</v>
      </c>
    </row>
    <row r="59" spans="1:12">
      <c r="A59" s="6">
        <v>44082</v>
      </c>
      <c r="B59" s="6">
        <v>44075</v>
      </c>
      <c r="C59">
        <v>100057</v>
      </c>
      <c r="D59" t="str">
        <f t="shared" si="0"/>
        <v>装1048</v>
      </c>
      <c r="E59" t="s">
        <v>322</v>
      </c>
      <c r="F59" t="s">
        <v>323</v>
      </c>
      <c r="G59" t="s">
        <v>321</v>
      </c>
      <c r="H59" t="s">
        <v>123</v>
      </c>
      <c r="I59">
        <v>4861</v>
      </c>
      <c r="J59">
        <v>1458.3</v>
      </c>
      <c r="K59">
        <v>1268.721</v>
      </c>
      <c r="L59">
        <v>311.04</v>
      </c>
    </row>
    <row r="60" spans="1:12">
      <c r="A60" s="6">
        <v>44082</v>
      </c>
      <c r="B60" s="6">
        <v>44075</v>
      </c>
      <c r="C60">
        <v>100057</v>
      </c>
      <c r="D60" t="str">
        <f t="shared" si="0"/>
        <v>装1048</v>
      </c>
      <c r="E60" t="s">
        <v>322</v>
      </c>
      <c r="F60" t="s">
        <v>323</v>
      </c>
      <c r="G60" t="s">
        <v>321</v>
      </c>
      <c r="H60" t="s">
        <v>325</v>
      </c>
      <c r="I60">
        <v>1527</v>
      </c>
      <c r="J60">
        <v>1068.9</v>
      </c>
      <c r="K60">
        <v>887.187</v>
      </c>
      <c r="L60">
        <v>198.24</v>
      </c>
    </row>
    <row r="61" spans="1:12">
      <c r="A61" s="6">
        <v>44082</v>
      </c>
      <c r="B61" s="6">
        <v>44075</v>
      </c>
      <c r="C61">
        <v>100059</v>
      </c>
      <c r="D61" t="str">
        <f t="shared" si="0"/>
        <v>装1049</v>
      </c>
      <c r="E61" t="s">
        <v>327</v>
      </c>
      <c r="F61" t="s">
        <v>328</v>
      </c>
      <c r="G61" t="s">
        <v>326</v>
      </c>
      <c r="H61" t="s">
        <v>199</v>
      </c>
      <c r="I61">
        <v>3362</v>
      </c>
      <c r="J61">
        <v>6724</v>
      </c>
      <c r="K61">
        <v>5984.36</v>
      </c>
      <c r="L61">
        <v>443.52</v>
      </c>
    </row>
    <row r="62" spans="1:12">
      <c r="A62" s="6">
        <v>44082</v>
      </c>
      <c r="B62" s="6">
        <v>44075</v>
      </c>
      <c r="C62">
        <v>100060</v>
      </c>
      <c r="D62" t="str">
        <f t="shared" si="0"/>
        <v>装1050</v>
      </c>
      <c r="E62" t="s">
        <v>331</v>
      </c>
      <c r="F62" t="s">
        <v>332</v>
      </c>
      <c r="G62" t="s">
        <v>330</v>
      </c>
      <c r="H62" t="s">
        <v>134</v>
      </c>
      <c r="I62">
        <v>399</v>
      </c>
      <c r="J62">
        <v>39.9</v>
      </c>
      <c r="K62">
        <v>34.314</v>
      </c>
      <c r="L62">
        <v>46.48</v>
      </c>
    </row>
    <row r="63" spans="1:12">
      <c r="A63" s="6">
        <v>44082</v>
      </c>
      <c r="B63" s="6">
        <v>44075</v>
      </c>
      <c r="C63">
        <v>100061</v>
      </c>
      <c r="D63" t="str">
        <f t="shared" si="0"/>
        <v>装1051</v>
      </c>
      <c r="E63" t="s">
        <v>335</v>
      </c>
      <c r="F63" t="s">
        <v>336</v>
      </c>
      <c r="G63" t="s">
        <v>334</v>
      </c>
      <c r="H63" t="s">
        <v>204</v>
      </c>
      <c r="I63">
        <v>2503</v>
      </c>
      <c r="J63">
        <v>8009.6</v>
      </c>
      <c r="K63">
        <v>6808.16</v>
      </c>
      <c r="L63">
        <v>312</v>
      </c>
    </row>
    <row r="64" spans="1:12">
      <c r="A64" s="6">
        <v>44082</v>
      </c>
      <c r="B64" s="6">
        <v>44075</v>
      </c>
      <c r="C64">
        <v>100062</v>
      </c>
      <c r="D64" t="str">
        <f t="shared" si="0"/>
        <v>装1052</v>
      </c>
      <c r="E64" t="s">
        <v>339</v>
      </c>
      <c r="F64" t="s">
        <v>340</v>
      </c>
      <c r="G64" t="s">
        <v>338</v>
      </c>
      <c r="H64" t="s">
        <v>218</v>
      </c>
      <c r="I64">
        <v>4001</v>
      </c>
      <c r="J64">
        <v>4001</v>
      </c>
      <c r="K64">
        <v>3480.87</v>
      </c>
      <c r="L64">
        <v>580.8</v>
      </c>
    </row>
    <row r="65" spans="1:12">
      <c r="A65" s="6">
        <v>44082</v>
      </c>
      <c r="B65" s="6">
        <v>44075</v>
      </c>
      <c r="C65">
        <v>100063</v>
      </c>
      <c r="D65" t="str">
        <f t="shared" si="0"/>
        <v>装1053</v>
      </c>
      <c r="E65" t="s">
        <v>343</v>
      </c>
      <c r="F65" t="s">
        <v>344</v>
      </c>
      <c r="G65" t="s">
        <v>342</v>
      </c>
      <c r="H65" t="s">
        <v>162</v>
      </c>
      <c r="I65">
        <v>175</v>
      </c>
      <c r="J65">
        <v>682.5</v>
      </c>
      <c r="K65">
        <v>614.25</v>
      </c>
      <c r="L65">
        <v>43.25</v>
      </c>
    </row>
    <row r="66" spans="1:12">
      <c r="A66" s="6">
        <v>44082</v>
      </c>
      <c r="B66" s="6">
        <v>44075</v>
      </c>
      <c r="C66">
        <v>100063</v>
      </c>
      <c r="D66" t="str">
        <f t="shared" si="0"/>
        <v>装1053</v>
      </c>
      <c r="E66" t="s">
        <v>343</v>
      </c>
      <c r="F66" t="s">
        <v>344</v>
      </c>
      <c r="G66" t="s">
        <v>342</v>
      </c>
      <c r="H66" t="s">
        <v>199</v>
      </c>
      <c r="I66">
        <v>203</v>
      </c>
      <c r="J66">
        <v>446.6</v>
      </c>
      <c r="K66">
        <v>379.61</v>
      </c>
      <c r="L66">
        <v>18</v>
      </c>
    </row>
    <row r="67" spans="1:12">
      <c r="A67" s="6">
        <v>44082</v>
      </c>
      <c r="B67" s="6">
        <v>44075</v>
      </c>
      <c r="C67">
        <v>100065</v>
      </c>
      <c r="D67" t="str">
        <f t="shared" si="0"/>
        <v>装1054</v>
      </c>
      <c r="E67" t="s">
        <v>347</v>
      </c>
      <c r="F67" t="s">
        <v>348</v>
      </c>
      <c r="G67" t="s">
        <v>346</v>
      </c>
      <c r="H67" t="s">
        <v>118</v>
      </c>
      <c r="I67">
        <v>1772</v>
      </c>
      <c r="J67">
        <v>4607.2</v>
      </c>
      <c r="K67">
        <v>4054.336</v>
      </c>
      <c r="L67">
        <v>308.46</v>
      </c>
    </row>
    <row r="68" spans="1:12">
      <c r="A68" s="6">
        <v>44082</v>
      </c>
      <c r="B68" s="6">
        <v>44075</v>
      </c>
      <c r="C68">
        <v>100066</v>
      </c>
      <c r="D68" t="str">
        <f t="shared" ref="D68:D127" si="1">IF(C68=C67,D67,"装"&amp;RIGHT(D67,4)+1)</f>
        <v>装1055</v>
      </c>
      <c r="E68" t="s">
        <v>351</v>
      </c>
      <c r="F68" t="s">
        <v>352</v>
      </c>
      <c r="G68" t="s">
        <v>350</v>
      </c>
      <c r="H68" t="s">
        <v>199</v>
      </c>
      <c r="I68">
        <v>3307</v>
      </c>
      <c r="J68">
        <v>3968.4</v>
      </c>
      <c r="K68">
        <v>3373.14</v>
      </c>
      <c r="L68">
        <v>390.06</v>
      </c>
    </row>
    <row r="69" spans="1:12">
      <c r="A69" s="6">
        <v>44082</v>
      </c>
      <c r="B69" s="6">
        <v>44075</v>
      </c>
      <c r="C69">
        <v>100066</v>
      </c>
      <c r="D69" t="str">
        <f t="shared" si="1"/>
        <v>装1055</v>
      </c>
      <c r="E69" t="s">
        <v>351</v>
      </c>
      <c r="F69" t="s">
        <v>352</v>
      </c>
      <c r="G69" t="s">
        <v>350</v>
      </c>
      <c r="H69" t="s">
        <v>227</v>
      </c>
      <c r="I69">
        <v>520</v>
      </c>
      <c r="J69">
        <v>416</v>
      </c>
      <c r="K69">
        <v>349.44</v>
      </c>
      <c r="L69">
        <v>75.92</v>
      </c>
    </row>
    <row r="70" spans="1:12">
      <c r="A70" s="6">
        <v>44082</v>
      </c>
      <c r="B70" s="6">
        <v>44075</v>
      </c>
      <c r="C70">
        <v>100068</v>
      </c>
      <c r="D70" t="str">
        <f t="shared" si="1"/>
        <v>装1056</v>
      </c>
      <c r="E70" t="s">
        <v>355</v>
      </c>
      <c r="F70" t="s">
        <v>356</v>
      </c>
      <c r="G70" t="s">
        <v>354</v>
      </c>
      <c r="H70" t="s">
        <v>118</v>
      </c>
      <c r="I70">
        <v>3738</v>
      </c>
      <c r="J70">
        <v>9345</v>
      </c>
      <c r="K70">
        <v>8223.6</v>
      </c>
      <c r="L70">
        <v>479.46</v>
      </c>
    </row>
    <row r="71" spans="1:12">
      <c r="A71" s="6">
        <v>44082</v>
      </c>
      <c r="B71" s="6">
        <v>44075</v>
      </c>
      <c r="C71">
        <v>100069</v>
      </c>
      <c r="D71" t="str">
        <f t="shared" si="1"/>
        <v>装1057</v>
      </c>
      <c r="E71" t="s">
        <v>359</v>
      </c>
      <c r="F71" t="s">
        <v>360</v>
      </c>
      <c r="G71" t="s">
        <v>358</v>
      </c>
      <c r="H71" t="s">
        <v>234</v>
      </c>
      <c r="I71">
        <v>4833</v>
      </c>
      <c r="J71">
        <v>9666</v>
      </c>
      <c r="K71">
        <v>8022.78</v>
      </c>
      <c r="L71">
        <v>466.9</v>
      </c>
    </row>
    <row r="72" spans="1:12">
      <c r="A72" s="6">
        <v>44082</v>
      </c>
      <c r="B72" s="6">
        <v>44075</v>
      </c>
      <c r="C72">
        <v>100070</v>
      </c>
      <c r="D72" t="str">
        <f t="shared" si="1"/>
        <v>装1058</v>
      </c>
      <c r="E72" t="s">
        <v>363</v>
      </c>
      <c r="F72" t="s">
        <v>364</v>
      </c>
      <c r="G72" t="s">
        <v>362</v>
      </c>
      <c r="H72" t="s">
        <v>218</v>
      </c>
      <c r="I72">
        <v>3246</v>
      </c>
      <c r="J72">
        <v>10387.2</v>
      </c>
      <c r="K72">
        <v>8621.376</v>
      </c>
      <c r="L72">
        <v>392.71</v>
      </c>
    </row>
    <row r="73" spans="1:12">
      <c r="A73" s="6">
        <v>44082</v>
      </c>
      <c r="B73" s="6">
        <v>44075</v>
      </c>
      <c r="C73">
        <v>100071</v>
      </c>
      <c r="D73" t="str">
        <f t="shared" si="1"/>
        <v>装1059</v>
      </c>
      <c r="E73" t="s">
        <v>367</v>
      </c>
      <c r="F73" t="s">
        <v>368</v>
      </c>
      <c r="G73" t="s">
        <v>366</v>
      </c>
      <c r="H73" t="s">
        <v>123</v>
      </c>
      <c r="I73">
        <v>3002</v>
      </c>
      <c r="J73">
        <v>900.6</v>
      </c>
      <c r="K73">
        <v>765.51</v>
      </c>
      <c r="L73">
        <v>886.5</v>
      </c>
    </row>
    <row r="74" spans="1:12">
      <c r="A74" s="6">
        <v>44082</v>
      </c>
      <c r="B74" s="6">
        <v>44075</v>
      </c>
      <c r="C74">
        <v>100072</v>
      </c>
      <c r="D74" t="str">
        <f t="shared" si="1"/>
        <v>装1060</v>
      </c>
      <c r="E74" t="s">
        <v>371</v>
      </c>
      <c r="F74" t="s">
        <v>372</v>
      </c>
      <c r="G74" t="s">
        <v>370</v>
      </c>
      <c r="H74" t="s">
        <v>274</v>
      </c>
      <c r="I74">
        <v>719</v>
      </c>
      <c r="J74">
        <v>862.8</v>
      </c>
      <c r="K74">
        <v>724.752</v>
      </c>
      <c r="L74">
        <v>90</v>
      </c>
    </row>
    <row r="75" spans="1:12">
      <c r="A75" s="6">
        <v>44082</v>
      </c>
      <c r="B75" s="6">
        <v>44075</v>
      </c>
      <c r="C75">
        <v>100073</v>
      </c>
      <c r="D75" t="str">
        <f t="shared" si="1"/>
        <v>装1061</v>
      </c>
      <c r="E75" t="s">
        <v>375</v>
      </c>
      <c r="F75" t="s">
        <v>376</v>
      </c>
      <c r="G75" t="s">
        <v>374</v>
      </c>
      <c r="H75" t="s">
        <v>180</v>
      </c>
      <c r="I75">
        <v>4761</v>
      </c>
      <c r="J75">
        <v>9522</v>
      </c>
      <c r="K75">
        <v>7712.82</v>
      </c>
      <c r="L75">
        <v>744.72</v>
      </c>
    </row>
    <row r="76" spans="1:12">
      <c r="A76" s="6">
        <v>44082</v>
      </c>
      <c r="B76" s="6">
        <v>44075</v>
      </c>
      <c r="C76">
        <v>100073</v>
      </c>
      <c r="D76" t="str">
        <f t="shared" si="1"/>
        <v>装1061</v>
      </c>
      <c r="E76" t="s">
        <v>375</v>
      </c>
      <c r="F76" t="s">
        <v>376</v>
      </c>
      <c r="G76" t="s">
        <v>374</v>
      </c>
      <c r="H76" t="s">
        <v>180</v>
      </c>
      <c r="I76">
        <v>3146</v>
      </c>
      <c r="J76">
        <v>5977.4</v>
      </c>
      <c r="K76">
        <v>5080.79</v>
      </c>
      <c r="L76">
        <v>267.75</v>
      </c>
    </row>
    <row r="77" spans="1:12">
      <c r="A77" s="6">
        <v>44082</v>
      </c>
      <c r="B77" s="6">
        <v>44075</v>
      </c>
      <c r="C77">
        <v>100073</v>
      </c>
      <c r="D77" t="str">
        <f t="shared" si="1"/>
        <v>装1061</v>
      </c>
      <c r="E77" t="s">
        <v>375</v>
      </c>
      <c r="F77" t="s">
        <v>376</v>
      </c>
      <c r="G77" t="s">
        <v>374</v>
      </c>
      <c r="H77" t="s">
        <v>139</v>
      </c>
      <c r="I77">
        <v>1312</v>
      </c>
      <c r="J77">
        <v>1836.8</v>
      </c>
      <c r="K77">
        <v>1542.912</v>
      </c>
      <c r="L77">
        <v>66.66</v>
      </c>
    </row>
    <row r="78" spans="1:12">
      <c r="A78" s="6">
        <v>44082</v>
      </c>
      <c r="B78" s="6">
        <v>44075</v>
      </c>
      <c r="C78">
        <v>100076</v>
      </c>
      <c r="D78" t="str">
        <f t="shared" si="1"/>
        <v>装1062</v>
      </c>
      <c r="E78" t="s">
        <v>379</v>
      </c>
      <c r="F78" t="s">
        <v>380</v>
      </c>
      <c r="G78" t="s">
        <v>378</v>
      </c>
      <c r="H78" t="s">
        <v>118</v>
      </c>
      <c r="I78">
        <v>3623</v>
      </c>
      <c r="J78">
        <v>6159.1</v>
      </c>
      <c r="K78">
        <v>5296.826</v>
      </c>
      <c r="L78">
        <v>354.76</v>
      </c>
    </row>
    <row r="79" spans="1:12">
      <c r="A79" s="6">
        <v>44082</v>
      </c>
      <c r="B79" s="6">
        <v>44075</v>
      </c>
      <c r="C79">
        <v>100077</v>
      </c>
      <c r="D79" t="str">
        <f t="shared" si="1"/>
        <v>装1063</v>
      </c>
      <c r="E79" t="s">
        <v>383</v>
      </c>
      <c r="F79" t="s">
        <v>384</v>
      </c>
      <c r="G79" t="s">
        <v>382</v>
      </c>
      <c r="H79" t="s">
        <v>172</v>
      </c>
      <c r="I79">
        <v>1400</v>
      </c>
      <c r="J79">
        <v>560</v>
      </c>
      <c r="K79">
        <v>464.8</v>
      </c>
      <c r="L79">
        <v>323.4</v>
      </c>
    </row>
    <row r="80" spans="1:12">
      <c r="A80" s="6">
        <v>44082</v>
      </c>
      <c r="B80" s="6">
        <v>44075</v>
      </c>
      <c r="C80">
        <v>100078</v>
      </c>
      <c r="D80" t="str">
        <f t="shared" si="1"/>
        <v>装1064</v>
      </c>
      <c r="E80" t="s">
        <v>387</v>
      </c>
      <c r="F80" t="s">
        <v>388</v>
      </c>
      <c r="G80" t="s">
        <v>386</v>
      </c>
      <c r="H80" t="s">
        <v>189</v>
      </c>
      <c r="I80">
        <v>797</v>
      </c>
      <c r="J80">
        <v>2550.4</v>
      </c>
      <c r="K80">
        <v>2295.36</v>
      </c>
      <c r="L80">
        <v>136</v>
      </c>
    </row>
    <row r="81" spans="1:12">
      <c r="A81" s="6">
        <v>44082</v>
      </c>
      <c r="B81" s="6">
        <v>44075</v>
      </c>
      <c r="C81">
        <v>100079</v>
      </c>
      <c r="D81" t="str">
        <f t="shared" si="1"/>
        <v>装1065</v>
      </c>
      <c r="E81" t="s">
        <v>391</v>
      </c>
      <c r="F81" t="s">
        <v>392</v>
      </c>
      <c r="G81" t="s">
        <v>390</v>
      </c>
      <c r="H81" t="s">
        <v>112</v>
      </c>
      <c r="I81">
        <v>4532</v>
      </c>
      <c r="J81">
        <v>906.4</v>
      </c>
      <c r="K81">
        <v>779.504</v>
      </c>
      <c r="L81">
        <v>245.16</v>
      </c>
    </row>
    <row r="82" spans="1:12">
      <c r="A82" s="6">
        <v>44082</v>
      </c>
      <c r="B82" s="6">
        <v>44075</v>
      </c>
      <c r="C82">
        <v>100080</v>
      </c>
      <c r="D82" t="str">
        <f t="shared" si="1"/>
        <v>装1066</v>
      </c>
      <c r="E82" t="s">
        <v>395</v>
      </c>
      <c r="F82" t="s">
        <v>396</v>
      </c>
      <c r="G82" t="s">
        <v>394</v>
      </c>
      <c r="H82" t="s">
        <v>180</v>
      </c>
      <c r="I82">
        <v>3275</v>
      </c>
      <c r="J82">
        <v>1310</v>
      </c>
      <c r="K82">
        <v>1061.1</v>
      </c>
      <c r="L82">
        <v>626.48</v>
      </c>
    </row>
    <row r="83" spans="1:12">
      <c r="A83" s="6">
        <v>44082</v>
      </c>
      <c r="B83" s="6">
        <v>44075</v>
      </c>
      <c r="C83">
        <v>100081</v>
      </c>
      <c r="D83" t="str">
        <f t="shared" si="1"/>
        <v>装1067</v>
      </c>
      <c r="E83" t="s">
        <v>399</v>
      </c>
      <c r="F83" t="s">
        <v>400</v>
      </c>
      <c r="G83" t="s">
        <v>398</v>
      </c>
      <c r="H83" t="s">
        <v>218</v>
      </c>
      <c r="I83">
        <v>2101</v>
      </c>
      <c r="J83">
        <v>3781.8</v>
      </c>
      <c r="K83">
        <v>3252.348</v>
      </c>
      <c r="L83">
        <v>247.8</v>
      </c>
    </row>
    <row r="84" spans="1:12">
      <c r="A84" s="6">
        <v>44082</v>
      </c>
      <c r="B84" s="6">
        <v>44075</v>
      </c>
      <c r="C84">
        <v>100082</v>
      </c>
      <c r="D84" t="str">
        <f t="shared" si="1"/>
        <v>装1068</v>
      </c>
      <c r="E84" t="s">
        <v>403</v>
      </c>
      <c r="F84" t="s">
        <v>404</v>
      </c>
      <c r="G84" t="s">
        <v>402</v>
      </c>
      <c r="H84" t="s">
        <v>232</v>
      </c>
      <c r="I84">
        <v>4816</v>
      </c>
      <c r="J84">
        <v>8187.2</v>
      </c>
      <c r="K84">
        <v>6877.248</v>
      </c>
      <c r="L84">
        <v>623.52</v>
      </c>
    </row>
    <row r="85" spans="1:12">
      <c r="A85" s="6">
        <v>44082</v>
      </c>
      <c r="B85" s="6">
        <v>44075</v>
      </c>
      <c r="C85">
        <v>100083</v>
      </c>
      <c r="D85" t="str">
        <f t="shared" si="1"/>
        <v>装1069</v>
      </c>
      <c r="E85" t="s">
        <v>407</v>
      </c>
      <c r="F85" t="s">
        <v>408</v>
      </c>
      <c r="G85" t="s">
        <v>406</v>
      </c>
      <c r="H85" t="s">
        <v>218</v>
      </c>
      <c r="I85">
        <v>3788</v>
      </c>
      <c r="J85">
        <v>11742.8</v>
      </c>
      <c r="K85">
        <v>9981.38</v>
      </c>
      <c r="L85">
        <v>283.03</v>
      </c>
    </row>
    <row r="86" spans="1:12">
      <c r="A86" s="6">
        <v>44082</v>
      </c>
      <c r="B86" s="6">
        <v>44075</v>
      </c>
      <c r="C86">
        <v>100084</v>
      </c>
      <c r="D86" t="str">
        <f t="shared" si="1"/>
        <v>装1070</v>
      </c>
      <c r="E86" t="s">
        <v>411</v>
      </c>
      <c r="F86" t="s">
        <v>412</v>
      </c>
      <c r="G86" t="s">
        <v>410</v>
      </c>
      <c r="H86" t="s">
        <v>139</v>
      </c>
      <c r="I86">
        <v>4974</v>
      </c>
      <c r="J86">
        <v>1989.6</v>
      </c>
      <c r="K86">
        <v>1671.264</v>
      </c>
      <c r="L86">
        <v>1462.16</v>
      </c>
    </row>
    <row r="87" spans="1:12">
      <c r="A87" s="6">
        <v>44082</v>
      </c>
      <c r="B87" s="6">
        <v>44075</v>
      </c>
      <c r="C87">
        <v>100085</v>
      </c>
      <c r="D87" t="str">
        <f t="shared" si="1"/>
        <v>装1071</v>
      </c>
      <c r="E87" t="s">
        <v>415</v>
      </c>
      <c r="F87" t="s">
        <v>416</v>
      </c>
      <c r="G87" t="s">
        <v>414</v>
      </c>
      <c r="H87" t="s">
        <v>118</v>
      </c>
      <c r="I87">
        <v>3948</v>
      </c>
      <c r="J87">
        <v>15792</v>
      </c>
      <c r="K87">
        <v>14212.8</v>
      </c>
      <c r="L87">
        <v>635.16</v>
      </c>
    </row>
    <row r="88" spans="1:12">
      <c r="A88" s="6">
        <v>44082</v>
      </c>
      <c r="B88" s="6">
        <v>44075</v>
      </c>
      <c r="C88">
        <v>100086</v>
      </c>
      <c r="D88" t="str">
        <f t="shared" si="1"/>
        <v>装1072</v>
      </c>
      <c r="E88" t="s">
        <v>419</v>
      </c>
      <c r="F88" t="s">
        <v>420</v>
      </c>
      <c r="G88" t="s">
        <v>418</v>
      </c>
      <c r="H88" t="s">
        <v>112</v>
      </c>
      <c r="I88">
        <v>2067</v>
      </c>
      <c r="J88">
        <v>2687.1</v>
      </c>
      <c r="K88">
        <v>2391.519</v>
      </c>
      <c r="L88">
        <v>427.8</v>
      </c>
    </row>
    <row r="89" spans="1:12">
      <c r="A89" s="6">
        <v>44082</v>
      </c>
      <c r="B89" s="6">
        <v>44075</v>
      </c>
      <c r="C89">
        <v>100087</v>
      </c>
      <c r="D89" t="str">
        <f t="shared" si="1"/>
        <v>装1073</v>
      </c>
      <c r="E89" t="s">
        <v>423</v>
      </c>
      <c r="F89" t="s">
        <v>424</v>
      </c>
      <c r="G89" t="s">
        <v>422</v>
      </c>
      <c r="H89" t="s">
        <v>274</v>
      </c>
      <c r="I89">
        <v>1457</v>
      </c>
      <c r="J89">
        <v>5245.2</v>
      </c>
      <c r="K89">
        <v>4563.324</v>
      </c>
      <c r="L89">
        <v>255.15</v>
      </c>
    </row>
    <row r="90" spans="1:12">
      <c r="A90" s="6">
        <v>44082</v>
      </c>
      <c r="B90" s="6">
        <v>44075</v>
      </c>
      <c r="C90">
        <v>100088</v>
      </c>
      <c r="D90" t="str">
        <f t="shared" si="1"/>
        <v>装1074</v>
      </c>
      <c r="E90" t="s">
        <v>427</v>
      </c>
      <c r="F90" t="s">
        <v>428</v>
      </c>
      <c r="G90" t="s">
        <v>426</v>
      </c>
      <c r="H90" t="s">
        <v>128</v>
      </c>
      <c r="I90">
        <v>2583</v>
      </c>
      <c r="J90">
        <v>3357.9</v>
      </c>
      <c r="K90">
        <v>2921.373</v>
      </c>
      <c r="L90">
        <v>389.08</v>
      </c>
    </row>
    <row r="91" spans="1:12">
      <c r="A91" s="6">
        <v>44082</v>
      </c>
      <c r="B91" s="6">
        <v>44075</v>
      </c>
      <c r="C91">
        <v>100089</v>
      </c>
      <c r="D91" t="str">
        <f t="shared" si="1"/>
        <v>装1075</v>
      </c>
      <c r="E91" t="s">
        <v>431</v>
      </c>
      <c r="F91" t="s">
        <v>432</v>
      </c>
      <c r="G91" t="s">
        <v>430</v>
      </c>
      <c r="H91" t="s">
        <v>218</v>
      </c>
      <c r="I91">
        <v>4649</v>
      </c>
      <c r="J91">
        <v>6973.5</v>
      </c>
      <c r="K91">
        <v>5927.475</v>
      </c>
      <c r="L91">
        <v>736.56</v>
      </c>
    </row>
    <row r="92" spans="1:12">
      <c r="A92" s="6">
        <v>44082</v>
      </c>
      <c r="B92" s="6">
        <v>44075</v>
      </c>
      <c r="C92">
        <v>100090</v>
      </c>
      <c r="D92" t="str">
        <f t="shared" si="1"/>
        <v>装1076</v>
      </c>
      <c r="E92" t="s">
        <v>435</v>
      </c>
      <c r="F92" t="s">
        <v>436</v>
      </c>
      <c r="G92" t="s">
        <v>434</v>
      </c>
      <c r="H92" t="s">
        <v>172</v>
      </c>
      <c r="I92">
        <v>2303</v>
      </c>
      <c r="J92">
        <v>6448.4</v>
      </c>
      <c r="K92">
        <v>5739.076</v>
      </c>
      <c r="L92">
        <v>445.05</v>
      </c>
    </row>
    <row r="93" spans="1:12">
      <c r="A93" s="6">
        <v>44082</v>
      </c>
      <c r="B93" s="6">
        <v>44075</v>
      </c>
      <c r="C93">
        <v>100091</v>
      </c>
      <c r="D93" t="str">
        <f t="shared" si="1"/>
        <v>装1077</v>
      </c>
      <c r="E93" t="s">
        <v>439</v>
      </c>
      <c r="F93" t="s">
        <v>440</v>
      </c>
      <c r="G93" t="s">
        <v>438</v>
      </c>
      <c r="H93" t="s">
        <v>128</v>
      </c>
      <c r="I93">
        <v>2516</v>
      </c>
      <c r="J93">
        <v>9057.6</v>
      </c>
      <c r="K93">
        <v>7427.232</v>
      </c>
      <c r="L93">
        <v>162.81</v>
      </c>
    </row>
    <row r="94" spans="1:12">
      <c r="A94" s="6">
        <v>44082</v>
      </c>
      <c r="B94" s="6">
        <v>44075</v>
      </c>
      <c r="C94">
        <v>100092</v>
      </c>
      <c r="D94" t="str">
        <f t="shared" si="1"/>
        <v>装1078</v>
      </c>
      <c r="E94" t="s">
        <v>443</v>
      </c>
      <c r="F94" t="s">
        <v>444</v>
      </c>
      <c r="G94" t="s">
        <v>442</v>
      </c>
      <c r="H94" t="s">
        <v>199</v>
      </c>
      <c r="I94">
        <v>1104</v>
      </c>
      <c r="J94">
        <v>993.6</v>
      </c>
      <c r="K94">
        <v>854.496</v>
      </c>
      <c r="L94">
        <v>169.32</v>
      </c>
    </row>
    <row r="95" spans="1:12">
      <c r="A95" s="6">
        <v>44082</v>
      </c>
      <c r="B95" s="6">
        <v>44075</v>
      </c>
      <c r="C95">
        <v>100093</v>
      </c>
      <c r="D95" t="str">
        <f t="shared" si="1"/>
        <v>装1079</v>
      </c>
      <c r="E95" t="s">
        <v>447</v>
      </c>
      <c r="F95" t="s">
        <v>448</v>
      </c>
      <c r="G95" t="s">
        <v>446</v>
      </c>
      <c r="H95" t="s">
        <v>232</v>
      </c>
      <c r="I95">
        <v>1677</v>
      </c>
      <c r="J95">
        <v>2850.9</v>
      </c>
      <c r="K95">
        <v>2423.265</v>
      </c>
      <c r="L95">
        <v>208.26</v>
      </c>
    </row>
    <row r="96" spans="1:12">
      <c r="A96" s="6">
        <v>44082</v>
      </c>
      <c r="B96" s="6">
        <v>44075</v>
      </c>
      <c r="C96">
        <v>100093</v>
      </c>
      <c r="D96" t="str">
        <f t="shared" si="1"/>
        <v>装1079</v>
      </c>
      <c r="E96" t="s">
        <v>447</v>
      </c>
      <c r="F96" t="s">
        <v>448</v>
      </c>
      <c r="G96" t="s">
        <v>446</v>
      </c>
      <c r="H96" t="s">
        <v>274</v>
      </c>
      <c r="I96">
        <v>4027</v>
      </c>
      <c r="J96">
        <v>8054</v>
      </c>
      <c r="K96">
        <v>6604.28</v>
      </c>
      <c r="L96">
        <v>406.56</v>
      </c>
    </row>
    <row r="97" spans="1:12">
      <c r="A97" s="6">
        <v>44082</v>
      </c>
      <c r="B97" s="6">
        <v>44075</v>
      </c>
      <c r="C97">
        <v>100093</v>
      </c>
      <c r="D97" t="str">
        <f t="shared" si="1"/>
        <v>装1079</v>
      </c>
      <c r="E97" t="s">
        <v>447</v>
      </c>
      <c r="F97" t="s">
        <v>448</v>
      </c>
      <c r="G97" t="s">
        <v>446</v>
      </c>
      <c r="H97" t="s">
        <v>325</v>
      </c>
      <c r="I97">
        <v>3256</v>
      </c>
      <c r="J97">
        <v>5535.2</v>
      </c>
      <c r="K97">
        <v>4704.92</v>
      </c>
      <c r="L97">
        <v>286.4</v>
      </c>
    </row>
    <row r="98" spans="1:12">
      <c r="A98" s="6">
        <v>44082</v>
      </c>
      <c r="B98" s="6">
        <v>44075</v>
      </c>
      <c r="C98">
        <v>100096</v>
      </c>
      <c r="D98" t="str">
        <f t="shared" si="1"/>
        <v>装1080</v>
      </c>
      <c r="E98" t="s">
        <v>451</v>
      </c>
      <c r="F98" t="s">
        <v>452</v>
      </c>
      <c r="G98" t="s">
        <v>450</v>
      </c>
      <c r="H98" t="s">
        <v>218</v>
      </c>
      <c r="I98">
        <v>757</v>
      </c>
      <c r="J98">
        <v>2649.5</v>
      </c>
      <c r="K98">
        <v>2172.59</v>
      </c>
      <c r="L98">
        <v>74.12</v>
      </c>
    </row>
    <row r="99" spans="1:12">
      <c r="A99" s="6">
        <v>44082</v>
      </c>
      <c r="B99" s="6">
        <v>44075</v>
      </c>
      <c r="C99">
        <v>100097</v>
      </c>
      <c r="D99" t="str">
        <f t="shared" si="1"/>
        <v>装1081</v>
      </c>
      <c r="E99" t="s">
        <v>455</v>
      </c>
      <c r="F99" t="s">
        <v>456</v>
      </c>
      <c r="G99" t="s">
        <v>454</v>
      </c>
      <c r="H99" t="s">
        <v>204</v>
      </c>
      <c r="I99">
        <v>3979</v>
      </c>
      <c r="J99">
        <v>8355.9</v>
      </c>
      <c r="K99">
        <v>7018.956</v>
      </c>
      <c r="L99">
        <v>656.7</v>
      </c>
    </row>
    <row r="100" spans="1:12">
      <c r="A100" s="6">
        <v>44082</v>
      </c>
      <c r="B100" s="6">
        <v>44075</v>
      </c>
      <c r="C100">
        <v>100098</v>
      </c>
      <c r="D100" t="str">
        <f t="shared" si="1"/>
        <v>装1082</v>
      </c>
      <c r="E100" t="s">
        <v>459</v>
      </c>
      <c r="F100" t="s">
        <v>460</v>
      </c>
      <c r="G100" t="s">
        <v>458</v>
      </c>
      <c r="H100" t="s">
        <v>189</v>
      </c>
      <c r="I100">
        <v>1733</v>
      </c>
      <c r="J100">
        <v>3466</v>
      </c>
      <c r="K100">
        <v>3050.08</v>
      </c>
      <c r="L100">
        <v>179.08</v>
      </c>
    </row>
    <row r="101" spans="1:12">
      <c r="A101" s="6">
        <v>44082</v>
      </c>
      <c r="B101" s="6">
        <v>44075</v>
      </c>
      <c r="C101">
        <v>100099</v>
      </c>
      <c r="D101" t="str">
        <f t="shared" si="1"/>
        <v>装1083</v>
      </c>
      <c r="E101" t="s">
        <v>463</v>
      </c>
      <c r="F101" t="s">
        <v>464</v>
      </c>
      <c r="G101" t="s">
        <v>462</v>
      </c>
      <c r="H101" t="s">
        <v>148</v>
      </c>
      <c r="I101">
        <v>1003</v>
      </c>
      <c r="J101">
        <v>802.4</v>
      </c>
      <c r="K101">
        <v>698.088</v>
      </c>
      <c r="L101">
        <v>126</v>
      </c>
    </row>
    <row r="102" spans="1:12">
      <c r="A102" s="6">
        <v>44082</v>
      </c>
      <c r="B102" s="6">
        <v>44075</v>
      </c>
      <c r="C102">
        <v>100100</v>
      </c>
      <c r="D102" t="str">
        <f t="shared" si="1"/>
        <v>装1084</v>
      </c>
      <c r="E102" t="s">
        <v>467</v>
      </c>
      <c r="F102" t="s">
        <v>468</v>
      </c>
      <c r="G102" t="s">
        <v>466</v>
      </c>
      <c r="H102" t="s">
        <v>135</v>
      </c>
      <c r="I102">
        <v>1202</v>
      </c>
      <c r="J102">
        <v>1803</v>
      </c>
      <c r="K102">
        <v>1496.49</v>
      </c>
      <c r="L102">
        <v>178.2</v>
      </c>
    </row>
    <row r="103" spans="1:12">
      <c r="A103" s="6">
        <v>44082</v>
      </c>
      <c r="B103" s="6">
        <v>44075</v>
      </c>
      <c r="C103">
        <v>100101</v>
      </c>
      <c r="D103" t="str">
        <f t="shared" si="1"/>
        <v>装1085</v>
      </c>
      <c r="E103" t="s">
        <v>471</v>
      </c>
      <c r="F103" t="s">
        <v>472</v>
      </c>
      <c r="G103" t="s">
        <v>470</v>
      </c>
      <c r="H103" t="s">
        <v>135</v>
      </c>
      <c r="I103">
        <v>2506</v>
      </c>
      <c r="J103">
        <v>9272.2</v>
      </c>
      <c r="K103">
        <v>7510.482</v>
      </c>
      <c r="L103">
        <v>319.06</v>
      </c>
    </row>
    <row r="104" spans="1:12">
      <c r="A104" s="6">
        <v>44082</v>
      </c>
      <c r="B104" s="6">
        <v>44075</v>
      </c>
      <c r="C104">
        <v>100102</v>
      </c>
      <c r="D104" t="str">
        <f t="shared" si="1"/>
        <v>装1086</v>
      </c>
      <c r="E104" t="s">
        <v>475</v>
      </c>
      <c r="F104" t="s">
        <v>476</v>
      </c>
      <c r="G104" t="s">
        <v>474</v>
      </c>
      <c r="H104" t="s">
        <v>134</v>
      </c>
      <c r="I104">
        <v>1624</v>
      </c>
      <c r="J104">
        <v>5684</v>
      </c>
      <c r="K104">
        <v>5058.76</v>
      </c>
      <c r="L104">
        <v>101.25</v>
      </c>
    </row>
    <row r="105" spans="1:12">
      <c r="A105" s="6">
        <v>44082</v>
      </c>
      <c r="B105" s="6">
        <v>44075</v>
      </c>
      <c r="C105">
        <v>100103</v>
      </c>
      <c r="D105" t="str">
        <f t="shared" si="1"/>
        <v>装1087</v>
      </c>
      <c r="E105" t="s">
        <v>479</v>
      </c>
      <c r="F105" t="s">
        <v>480</v>
      </c>
      <c r="G105" t="s">
        <v>478</v>
      </c>
      <c r="H105" t="s">
        <v>227</v>
      </c>
      <c r="I105">
        <v>4371</v>
      </c>
      <c r="J105">
        <v>4371</v>
      </c>
      <c r="K105">
        <v>3540.51</v>
      </c>
      <c r="L105">
        <v>1036.48</v>
      </c>
    </row>
    <row r="106" spans="1:12">
      <c r="A106" s="6">
        <v>44082</v>
      </c>
      <c r="B106" s="6">
        <v>44075</v>
      </c>
      <c r="C106">
        <v>100104</v>
      </c>
      <c r="D106" t="str">
        <f t="shared" si="1"/>
        <v>装1088</v>
      </c>
      <c r="E106" t="s">
        <v>483</v>
      </c>
      <c r="F106" t="s">
        <v>484</v>
      </c>
      <c r="G106" t="s">
        <v>482</v>
      </c>
      <c r="H106" t="s">
        <v>274</v>
      </c>
      <c r="I106">
        <v>3848</v>
      </c>
      <c r="J106">
        <v>3848</v>
      </c>
      <c r="K106">
        <v>3232.32</v>
      </c>
      <c r="L106">
        <v>335.62</v>
      </c>
    </row>
    <row r="107" spans="1:12">
      <c r="A107" s="6">
        <v>44082</v>
      </c>
      <c r="B107" s="6">
        <v>44075</v>
      </c>
      <c r="C107">
        <v>100105</v>
      </c>
      <c r="D107" t="str">
        <f t="shared" si="1"/>
        <v>装1089</v>
      </c>
      <c r="E107" t="s">
        <v>487</v>
      </c>
      <c r="F107" t="s">
        <v>488</v>
      </c>
      <c r="G107" t="s">
        <v>486</v>
      </c>
      <c r="H107" t="s">
        <v>234</v>
      </c>
      <c r="I107">
        <v>2530</v>
      </c>
      <c r="J107">
        <v>8602</v>
      </c>
      <c r="K107">
        <v>7053.64</v>
      </c>
      <c r="L107">
        <v>311.6</v>
      </c>
    </row>
    <row r="108" spans="1:12">
      <c r="A108" s="6">
        <v>44082</v>
      </c>
      <c r="B108" s="6">
        <v>44075</v>
      </c>
      <c r="C108">
        <v>100106</v>
      </c>
      <c r="D108" t="str">
        <f t="shared" si="1"/>
        <v>装1090</v>
      </c>
      <c r="E108" t="s">
        <v>491</v>
      </c>
      <c r="F108" t="s">
        <v>492</v>
      </c>
      <c r="G108" t="s">
        <v>490</v>
      </c>
      <c r="H108" t="s">
        <v>148</v>
      </c>
      <c r="I108">
        <v>1937</v>
      </c>
      <c r="J108">
        <v>2518.1</v>
      </c>
      <c r="K108">
        <v>2165.566</v>
      </c>
      <c r="L108">
        <v>334.65</v>
      </c>
    </row>
    <row r="109" spans="1:12">
      <c r="A109" s="6">
        <v>44082</v>
      </c>
      <c r="B109" s="6">
        <v>44075</v>
      </c>
      <c r="C109">
        <v>100107</v>
      </c>
      <c r="D109" t="str">
        <f t="shared" si="1"/>
        <v>装1091</v>
      </c>
      <c r="E109" t="s">
        <v>495</v>
      </c>
      <c r="F109" t="s">
        <v>496</v>
      </c>
      <c r="G109" t="s">
        <v>494</v>
      </c>
      <c r="H109" t="s">
        <v>497</v>
      </c>
      <c r="I109">
        <v>4647</v>
      </c>
      <c r="J109">
        <v>3717.6</v>
      </c>
      <c r="K109">
        <v>3345.84</v>
      </c>
      <c r="L109">
        <v>463.14</v>
      </c>
    </row>
    <row r="110" spans="1:12">
      <c r="A110" s="6">
        <v>44082</v>
      </c>
      <c r="B110" s="6">
        <v>44075</v>
      </c>
      <c r="C110">
        <v>100107</v>
      </c>
      <c r="D110" t="str">
        <f t="shared" si="1"/>
        <v>装1091</v>
      </c>
      <c r="E110" t="s">
        <v>495</v>
      </c>
      <c r="F110" t="s">
        <v>496</v>
      </c>
      <c r="G110" t="s">
        <v>494</v>
      </c>
      <c r="H110" t="s">
        <v>134</v>
      </c>
      <c r="I110">
        <v>2517</v>
      </c>
      <c r="J110">
        <v>5789.1</v>
      </c>
      <c r="K110">
        <v>4689.171</v>
      </c>
      <c r="L110">
        <v>241.12</v>
      </c>
    </row>
    <row r="111" spans="1:12">
      <c r="A111" s="6">
        <v>44082</v>
      </c>
      <c r="B111" s="6">
        <v>44075</v>
      </c>
      <c r="C111">
        <v>100109</v>
      </c>
      <c r="D111" t="str">
        <f t="shared" si="1"/>
        <v>装1092</v>
      </c>
      <c r="E111" t="s">
        <v>500</v>
      </c>
      <c r="F111" t="s">
        <v>501</v>
      </c>
      <c r="G111" t="s">
        <v>499</v>
      </c>
      <c r="H111" t="s">
        <v>114</v>
      </c>
      <c r="I111">
        <v>4974</v>
      </c>
      <c r="J111">
        <v>2487</v>
      </c>
      <c r="K111">
        <v>2238.3</v>
      </c>
      <c r="L111">
        <v>871.62</v>
      </c>
    </row>
    <row r="112" spans="1:12">
      <c r="A112" s="6">
        <v>44082</v>
      </c>
      <c r="B112" s="6">
        <v>44075</v>
      </c>
      <c r="C112">
        <v>100110</v>
      </c>
      <c r="D112" t="str">
        <f t="shared" si="1"/>
        <v>装1093</v>
      </c>
      <c r="E112" t="s">
        <v>504</v>
      </c>
      <c r="F112" t="s">
        <v>505</v>
      </c>
      <c r="G112" t="s">
        <v>503</v>
      </c>
      <c r="H112" t="s">
        <v>204</v>
      </c>
      <c r="I112">
        <v>561</v>
      </c>
      <c r="J112">
        <v>224.4</v>
      </c>
      <c r="K112">
        <v>188.496</v>
      </c>
      <c r="L112">
        <v>24.64</v>
      </c>
    </row>
    <row r="113" spans="1:12">
      <c r="A113" s="6">
        <v>44082</v>
      </c>
      <c r="B113" s="6">
        <v>44075</v>
      </c>
      <c r="C113">
        <v>100111</v>
      </c>
      <c r="D113" t="str">
        <f t="shared" si="1"/>
        <v>装1094</v>
      </c>
      <c r="E113" t="s">
        <v>508</v>
      </c>
      <c r="F113" t="s">
        <v>509</v>
      </c>
      <c r="G113" t="s">
        <v>507</v>
      </c>
      <c r="H113" t="s">
        <v>134</v>
      </c>
      <c r="I113">
        <v>4928</v>
      </c>
      <c r="J113">
        <v>5913.6</v>
      </c>
      <c r="K113">
        <v>5085.696</v>
      </c>
      <c r="L113">
        <v>1173</v>
      </c>
    </row>
    <row r="114" spans="1:12">
      <c r="A114" s="6">
        <v>44082</v>
      </c>
      <c r="B114" s="6">
        <v>44075</v>
      </c>
      <c r="C114">
        <v>100112</v>
      </c>
      <c r="D114" t="str">
        <f t="shared" si="1"/>
        <v>装1095</v>
      </c>
      <c r="E114" t="s">
        <v>512</v>
      </c>
      <c r="F114" t="s">
        <v>513</v>
      </c>
      <c r="G114" t="s">
        <v>511</v>
      </c>
      <c r="H114" t="s">
        <v>194</v>
      </c>
      <c r="I114">
        <v>600</v>
      </c>
      <c r="J114">
        <v>780</v>
      </c>
      <c r="K114">
        <v>631.8</v>
      </c>
      <c r="L114">
        <v>74.88</v>
      </c>
    </row>
    <row r="115" spans="1:12">
      <c r="A115" s="6">
        <v>44082</v>
      </c>
      <c r="B115" s="6">
        <v>44075</v>
      </c>
      <c r="C115">
        <v>100113</v>
      </c>
      <c r="D115" t="str">
        <f t="shared" si="1"/>
        <v>装1096</v>
      </c>
      <c r="E115" t="s">
        <v>516</v>
      </c>
      <c r="F115" t="s">
        <v>517</v>
      </c>
      <c r="G115" t="s">
        <v>515</v>
      </c>
      <c r="H115" t="s">
        <v>234</v>
      </c>
      <c r="I115">
        <v>4051</v>
      </c>
      <c r="J115">
        <v>7696.9</v>
      </c>
      <c r="K115">
        <v>6388.427</v>
      </c>
      <c r="L115">
        <v>306.18</v>
      </c>
    </row>
    <row r="116" spans="1:12">
      <c r="A116" s="6">
        <v>44082</v>
      </c>
      <c r="B116" s="6">
        <v>44075</v>
      </c>
      <c r="C116">
        <v>100114</v>
      </c>
      <c r="D116" t="str">
        <f t="shared" si="1"/>
        <v>装1097</v>
      </c>
      <c r="E116" t="s">
        <v>520</v>
      </c>
      <c r="F116" t="s">
        <v>521</v>
      </c>
      <c r="G116" t="s">
        <v>519</v>
      </c>
      <c r="H116" t="s">
        <v>232</v>
      </c>
      <c r="I116">
        <v>4446</v>
      </c>
      <c r="J116">
        <v>2667.6</v>
      </c>
      <c r="K116">
        <v>2294.136</v>
      </c>
      <c r="L116">
        <v>372</v>
      </c>
    </row>
    <row r="117" spans="1:12">
      <c r="A117" s="6">
        <v>44082</v>
      </c>
      <c r="B117" s="6">
        <v>44075</v>
      </c>
      <c r="C117">
        <v>100115</v>
      </c>
      <c r="D117" t="str">
        <f t="shared" si="1"/>
        <v>装1098</v>
      </c>
      <c r="E117" t="s">
        <v>524</v>
      </c>
      <c r="F117" t="s">
        <v>525</v>
      </c>
      <c r="G117" t="s">
        <v>523</v>
      </c>
      <c r="H117" t="s">
        <v>118</v>
      </c>
      <c r="I117">
        <v>2608</v>
      </c>
      <c r="J117">
        <v>6259.2</v>
      </c>
      <c r="K117">
        <v>5320.32</v>
      </c>
      <c r="L117">
        <v>459.36</v>
      </c>
    </row>
    <row r="118" spans="1:12">
      <c r="A118" s="6">
        <v>44082</v>
      </c>
      <c r="B118" s="6">
        <v>44075</v>
      </c>
      <c r="C118">
        <v>100116</v>
      </c>
      <c r="D118" t="str">
        <f t="shared" si="1"/>
        <v>装1099</v>
      </c>
      <c r="E118" t="s">
        <v>528</v>
      </c>
      <c r="F118" t="s">
        <v>529</v>
      </c>
      <c r="G118" t="s">
        <v>527</v>
      </c>
      <c r="H118" t="s">
        <v>199</v>
      </c>
      <c r="I118">
        <v>4275</v>
      </c>
      <c r="J118">
        <v>14107.5</v>
      </c>
      <c r="K118">
        <v>11709.225</v>
      </c>
      <c r="L118">
        <v>250.38</v>
      </c>
    </row>
    <row r="119" spans="1:12">
      <c r="A119" s="6">
        <v>44082</v>
      </c>
      <c r="B119" s="6">
        <v>44075</v>
      </c>
      <c r="C119">
        <v>100116</v>
      </c>
      <c r="D119" t="str">
        <f t="shared" si="1"/>
        <v>装1099</v>
      </c>
      <c r="E119" t="s">
        <v>528</v>
      </c>
      <c r="F119" t="s">
        <v>529</v>
      </c>
      <c r="G119" t="s">
        <v>527</v>
      </c>
      <c r="H119" t="s">
        <v>135</v>
      </c>
      <c r="I119">
        <v>2559</v>
      </c>
      <c r="J119">
        <v>3582.6</v>
      </c>
      <c r="K119">
        <v>2901.906</v>
      </c>
      <c r="L119">
        <v>148.57</v>
      </c>
    </row>
    <row r="120" spans="1:12">
      <c r="A120" s="6">
        <v>44082</v>
      </c>
      <c r="B120" s="6">
        <v>44075</v>
      </c>
      <c r="C120">
        <v>100118</v>
      </c>
      <c r="D120" t="str">
        <f t="shared" si="1"/>
        <v>装1100</v>
      </c>
      <c r="E120" t="s">
        <v>532</v>
      </c>
      <c r="F120" t="s">
        <v>533</v>
      </c>
      <c r="G120" t="s">
        <v>531</v>
      </c>
      <c r="H120" t="s">
        <v>172</v>
      </c>
      <c r="I120">
        <v>726</v>
      </c>
      <c r="J120">
        <v>2904</v>
      </c>
      <c r="K120">
        <v>2468.4</v>
      </c>
      <c r="L120">
        <v>129.63</v>
      </c>
    </row>
    <row r="121" spans="1:12">
      <c r="A121" s="6">
        <v>44082</v>
      </c>
      <c r="B121" s="6">
        <v>44075</v>
      </c>
      <c r="C121">
        <v>100119</v>
      </c>
      <c r="D121" t="str">
        <f t="shared" si="1"/>
        <v>装1101</v>
      </c>
      <c r="E121" t="s">
        <v>536</v>
      </c>
      <c r="F121" t="s">
        <v>537</v>
      </c>
      <c r="G121" t="s">
        <v>535</v>
      </c>
      <c r="H121" t="s">
        <v>112</v>
      </c>
      <c r="I121">
        <v>2055</v>
      </c>
      <c r="J121">
        <v>4932</v>
      </c>
      <c r="K121">
        <v>4290.84</v>
      </c>
      <c r="L121">
        <v>188.6</v>
      </c>
    </row>
    <row r="122" spans="1:12">
      <c r="A122" s="6">
        <v>44082</v>
      </c>
      <c r="B122" s="6">
        <v>44075</v>
      </c>
      <c r="C122">
        <v>100120</v>
      </c>
      <c r="D122" t="str">
        <f t="shared" si="1"/>
        <v>装1102</v>
      </c>
      <c r="E122" t="s">
        <v>540</v>
      </c>
      <c r="F122" t="s">
        <v>541</v>
      </c>
      <c r="G122" t="s">
        <v>539</v>
      </c>
      <c r="H122" t="s">
        <v>153</v>
      </c>
      <c r="I122">
        <v>2874</v>
      </c>
      <c r="J122">
        <v>4885.8</v>
      </c>
      <c r="K122">
        <v>4299.504</v>
      </c>
      <c r="L122">
        <v>322.32</v>
      </c>
    </row>
    <row r="123" spans="1:12">
      <c r="A123" s="6">
        <v>44082</v>
      </c>
      <c r="B123" s="6">
        <v>44075</v>
      </c>
      <c r="C123">
        <v>100121</v>
      </c>
      <c r="D123" t="str">
        <f t="shared" si="1"/>
        <v>装1103</v>
      </c>
      <c r="E123" t="s">
        <v>544</v>
      </c>
      <c r="F123" t="s">
        <v>545</v>
      </c>
      <c r="G123" t="s">
        <v>543</v>
      </c>
      <c r="H123" t="s">
        <v>315</v>
      </c>
      <c r="I123">
        <v>2255</v>
      </c>
      <c r="J123">
        <v>8794.5</v>
      </c>
      <c r="K123">
        <v>7387.38</v>
      </c>
      <c r="L123">
        <v>205.4</v>
      </c>
    </row>
    <row r="124" spans="1:12">
      <c r="A124" s="6">
        <v>44082</v>
      </c>
      <c r="B124" s="6">
        <v>44075</v>
      </c>
      <c r="C124">
        <v>100122</v>
      </c>
      <c r="D124" t="str">
        <f t="shared" si="1"/>
        <v>装1104</v>
      </c>
      <c r="E124" t="s">
        <v>548</v>
      </c>
      <c r="F124" t="s">
        <v>549</v>
      </c>
      <c r="G124" t="s">
        <v>547</v>
      </c>
      <c r="H124" t="s">
        <v>112</v>
      </c>
      <c r="I124">
        <v>3863</v>
      </c>
      <c r="J124">
        <v>9657.5</v>
      </c>
      <c r="K124">
        <v>8402.025</v>
      </c>
      <c r="L124">
        <v>281.19</v>
      </c>
    </row>
    <row r="125" spans="1:12">
      <c r="A125" s="6">
        <v>44082</v>
      </c>
      <c r="B125" s="6">
        <v>44075</v>
      </c>
      <c r="C125">
        <v>100123</v>
      </c>
      <c r="D125" t="str">
        <f t="shared" si="1"/>
        <v>装1105</v>
      </c>
      <c r="E125" t="s">
        <v>552</v>
      </c>
      <c r="F125" t="s">
        <v>553</v>
      </c>
      <c r="G125" t="s">
        <v>551</v>
      </c>
      <c r="H125" t="s">
        <v>172</v>
      </c>
      <c r="I125">
        <v>3116</v>
      </c>
      <c r="J125">
        <v>11217.6</v>
      </c>
      <c r="K125">
        <v>9422.784</v>
      </c>
      <c r="L125">
        <v>336.6</v>
      </c>
    </row>
    <row r="126" spans="1:12">
      <c r="A126" s="6">
        <v>44082</v>
      </c>
      <c r="B126" s="6">
        <v>44075</v>
      </c>
      <c r="C126">
        <v>100124</v>
      </c>
      <c r="D126" t="str">
        <f t="shared" si="1"/>
        <v>装1106</v>
      </c>
      <c r="E126" t="s">
        <v>556</v>
      </c>
      <c r="F126" t="s">
        <v>557</v>
      </c>
      <c r="G126" t="s">
        <v>555</v>
      </c>
      <c r="H126" t="s">
        <v>139</v>
      </c>
      <c r="I126">
        <v>3053</v>
      </c>
      <c r="J126">
        <v>3053</v>
      </c>
      <c r="K126">
        <v>2717.17</v>
      </c>
      <c r="L126">
        <v>435.1</v>
      </c>
    </row>
    <row r="127" spans="1:12">
      <c r="A127" s="6">
        <v>44082</v>
      </c>
      <c r="B127" s="6">
        <v>44075</v>
      </c>
      <c r="C127">
        <v>100125</v>
      </c>
      <c r="D127" t="str">
        <f t="shared" si="1"/>
        <v>装1107</v>
      </c>
      <c r="E127" t="s">
        <v>560</v>
      </c>
      <c r="F127" t="s">
        <v>561</v>
      </c>
      <c r="G127" t="s">
        <v>559</v>
      </c>
      <c r="H127" t="s">
        <v>114</v>
      </c>
      <c r="I127">
        <v>4562</v>
      </c>
      <c r="J127">
        <v>13686</v>
      </c>
      <c r="K127">
        <v>12043.68</v>
      </c>
      <c r="L127">
        <v>328.8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7"/>
  <sheetViews>
    <sheetView workbookViewId="0">
      <selection activeCell="N32" sqref="N32"/>
    </sheetView>
  </sheetViews>
  <sheetFormatPr defaultColWidth="9" defaultRowHeight="13.8"/>
  <cols>
    <col min="2" max="2" width="9" customWidth="1"/>
    <col min="4" max="4" width="8.25" customWidth="1"/>
    <col min="6" max="6" width="5.25" customWidth="1"/>
    <col min="7" max="8" width="9.5" customWidth="1"/>
    <col min="9" max="9" width="10.1296296296296" customWidth="1"/>
    <col min="10" max="10" width="11" customWidth="1"/>
    <col min="11" max="11" width="9" customWidth="1"/>
    <col min="12" max="12" width="13" customWidth="1"/>
    <col min="13" max="14" width="11" customWidth="1"/>
    <col min="15" max="15" width="7.12962962962963" customWidth="1"/>
  </cols>
  <sheetData>
    <row r="1" spans="1:15">
      <c r="A1" t="s">
        <v>573</v>
      </c>
      <c r="B1" t="s">
        <v>574</v>
      </c>
      <c r="C1" t="s">
        <v>1</v>
      </c>
      <c r="D1" t="s">
        <v>2</v>
      </c>
      <c r="E1" t="s">
        <v>575</v>
      </c>
      <c r="F1" t="s">
        <v>9</v>
      </c>
      <c r="G1" t="s">
        <v>569</v>
      </c>
      <c r="H1" t="s">
        <v>570</v>
      </c>
      <c r="I1" t="s">
        <v>571</v>
      </c>
      <c r="J1" t="s">
        <v>16</v>
      </c>
      <c r="K1" t="s">
        <v>17</v>
      </c>
      <c r="L1" t="s">
        <v>18</v>
      </c>
      <c r="M1" t="s">
        <v>576</v>
      </c>
      <c r="N1" t="s">
        <v>577</v>
      </c>
      <c r="O1" t="s">
        <v>19</v>
      </c>
    </row>
    <row r="2" spans="1:15">
      <c r="A2" s="6">
        <v>44075</v>
      </c>
      <c r="B2" t="s">
        <v>578</v>
      </c>
      <c r="C2">
        <v>100001</v>
      </c>
      <c r="D2" t="s">
        <v>20</v>
      </c>
      <c r="E2" t="s">
        <v>112</v>
      </c>
      <c r="F2">
        <v>1309</v>
      </c>
      <c r="G2">
        <v>392.7</v>
      </c>
      <c r="H2">
        <v>314.16</v>
      </c>
      <c r="I2">
        <v>96.6</v>
      </c>
      <c r="J2" t="s">
        <v>24</v>
      </c>
      <c r="K2" t="s">
        <v>42</v>
      </c>
      <c r="L2" t="s">
        <v>113</v>
      </c>
      <c r="M2" t="s">
        <v>21</v>
      </c>
      <c r="N2" t="s">
        <v>22</v>
      </c>
      <c r="O2" t="s">
        <v>55</v>
      </c>
    </row>
    <row r="3" spans="1:15">
      <c r="A3" s="6">
        <v>44075</v>
      </c>
      <c r="B3" t="str">
        <f>IF(D3=D2,B2,"提"&amp;RIGHT(B2,3)+1)</f>
        <v>提101</v>
      </c>
      <c r="C3">
        <v>100001</v>
      </c>
      <c r="D3" t="s">
        <v>20</v>
      </c>
      <c r="E3" t="s">
        <v>114</v>
      </c>
      <c r="F3">
        <v>3545</v>
      </c>
      <c r="G3">
        <v>2481.5</v>
      </c>
      <c r="H3">
        <v>2158.905</v>
      </c>
      <c r="I3">
        <v>424.08</v>
      </c>
      <c r="J3" t="s">
        <v>24</v>
      </c>
      <c r="K3" t="s">
        <v>42</v>
      </c>
      <c r="L3" t="s">
        <v>113</v>
      </c>
      <c r="M3" t="s">
        <v>21</v>
      </c>
      <c r="N3" t="s">
        <v>22</v>
      </c>
      <c r="O3" t="s">
        <v>30</v>
      </c>
    </row>
    <row r="4" spans="1:15">
      <c r="A4" s="6">
        <v>44075</v>
      </c>
      <c r="B4" t="str">
        <f t="shared" ref="B4:B67" si="0">IF(D4=D3,B3,"提"&amp;RIGHT(B3,3)+1)</f>
        <v>提102</v>
      </c>
      <c r="C4">
        <v>100002</v>
      </c>
      <c r="D4" t="s">
        <v>115</v>
      </c>
      <c r="E4" t="s">
        <v>118</v>
      </c>
      <c r="F4">
        <v>1544</v>
      </c>
      <c r="G4">
        <v>154.4</v>
      </c>
      <c r="H4">
        <v>131.24</v>
      </c>
      <c r="I4">
        <v>194.97</v>
      </c>
      <c r="J4" t="s">
        <v>24</v>
      </c>
      <c r="K4" t="s">
        <v>36</v>
      </c>
      <c r="L4" t="s">
        <v>119</v>
      </c>
      <c r="M4" t="s">
        <v>116</v>
      </c>
      <c r="N4" t="s">
        <v>117</v>
      </c>
      <c r="O4" t="s">
        <v>31</v>
      </c>
    </row>
    <row r="5" spans="1:15">
      <c r="A5" s="6">
        <v>44075</v>
      </c>
      <c r="B5" t="str">
        <f t="shared" si="0"/>
        <v>提103</v>
      </c>
      <c r="C5">
        <v>100003</v>
      </c>
      <c r="D5" t="s">
        <v>120</v>
      </c>
      <c r="E5" t="s">
        <v>123</v>
      </c>
      <c r="F5">
        <v>3389</v>
      </c>
      <c r="G5">
        <v>4066.8</v>
      </c>
      <c r="H5">
        <v>3253.44</v>
      </c>
      <c r="I5">
        <v>919.48</v>
      </c>
      <c r="J5" t="s">
        <v>24</v>
      </c>
      <c r="K5" t="s">
        <v>28</v>
      </c>
      <c r="L5" t="s">
        <v>124</v>
      </c>
      <c r="M5" t="s">
        <v>121</v>
      </c>
      <c r="N5" t="s">
        <v>122</v>
      </c>
      <c r="O5" t="s">
        <v>30</v>
      </c>
    </row>
    <row r="6" spans="1:15">
      <c r="A6" s="6">
        <v>44075</v>
      </c>
      <c r="B6" t="str">
        <f t="shared" si="0"/>
        <v>提104</v>
      </c>
      <c r="C6">
        <v>100004</v>
      </c>
      <c r="D6" t="s">
        <v>125</v>
      </c>
      <c r="E6" t="s">
        <v>128</v>
      </c>
      <c r="F6">
        <v>2457</v>
      </c>
      <c r="G6">
        <v>7125.3</v>
      </c>
      <c r="H6">
        <v>6127.758</v>
      </c>
      <c r="I6">
        <v>271.86</v>
      </c>
      <c r="J6" t="s">
        <v>24</v>
      </c>
      <c r="K6" t="s">
        <v>42</v>
      </c>
      <c r="L6" t="s">
        <v>129</v>
      </c>
      <c r="M6" t="s">
        <v>126</v>
      </c>
      <c r="N6" t="s">
        <v>127</v>
      </c>
      <c r="O6" t="s">
        <v>31</v>
      </c>
    </row>
    <row r="7" spans="1:15">
      <c r="A7" s="6">
        <v>44075</v>
      </c>
      <c r="B7" t="str">
        <f t="shared" si="0"/>
        <v>提105</v>
      </c>
      <c r="C7">
        <v>100005</v>
      </c>
      <c r="D7" t="s">
        <v>130</v>
      </c>
      <c r="E7" t="s">
        <v>118</v>
      </c>
      <c r="F7">
        <v>4350</v>
      </c>
      <c r="G7">
        <v>6960</v>
      </c>
      <c r="H7">
        <v>5707.2</v>
      </c>
      <c r="I7">
        <v>691.65</v>
      </c>
      <c r="J7" t="s">
        <v>24</v>
      </c>
      <c r="K7" t="s">
        <v>36</v>
      </c>
      <c r="L7" t="s">
        <v>133</v>
      </c>
      <c r="M7" t="s">
        <v>131</v>
      </c>
      <c r="N7" t="s">
        <v>132</v>
      </c>
      <c r="O7" t="s">
        <v>31</v>
      </c>
    </row>
    <row r="8" spans="1:15">
      <c r="A8" s="6">
        <v>44075</v>
      </c>
      <c r="B8" t="str">
        <f t="shared" si="0"/>
        <v>提105</v>
      </c>
      <c r="C8">
        <v>100005</v>
      </c>
      <c r="D8" t="s">
        <v>130</v>
      </c>
      <c r="E8" t="s">
        <v>134</v>
      </c>
      <c r="F8">
        <v>4819</v>
      </c>
      <c r="G8">
        <v>16866.5</v>
      </c>
      <c r="H8">
        <v>14842.52</v>
      </c>
      <c r="I8">
        <v>300.56</v>
      </c>
      <c r="J8" t="s">
        <v>24</v>
      </c>
      <c r="K8" t="s">
        <v>36</v>
      </c>
      <c r="L8" t="s">
        <v>133</v>
      </c>
      <c r="M8" t="s">
        <v>131</v>
      </c>
      <c r="N8" t="s">
        <v>132</v>
      </c>
      <c r="O8" t="s">
        <v>30</v>
      </c>
    </row>
    <row r="9" spans="1:15">
      <c r="A9" s="6">
        <v>44075</v>
      </c>
      <c r="B9" t="str">
        <f t="shared" si="0"/>
        <v>提105</v>
      </c>
      <c r="C9">
        <v>100005</v>
      </c>
      <c r="D9" t="s">
        <v>130</v>
      </c>
      <c r="E9" t="s">
        <v>135</v>
      </c>
      <c r="F9">
        <v>740</v>
      </c>
      <c r="G9">
        <v>2146</v>
      </c>
      <c r="H9">
        <v>1824.1</v>
      </c>
      <c r="I9">
        <v>134.4</v>
      </c>
      <c r="J9" t="s">
        <v>24</v>
      </c>
      <c r="K9" t="s">
        <v>36</v>
      </c>
      <c r="L9" t="s">
        <v>133</v>
      </c>
      <c r="M9" t="s">
        <v>131</v>
      </c>
      <c r="N9" t="s">
        <v>132</v>
      </c>
      <c r="O9" t="s">
        <v>55</v>
      </c>
    </row>
    <row r="10" spans="1:15">
      <c r="A10" s="6">
        <v>44075</v>
      </c>
      <c r="B10" t="str">
        <f t="shared" si="0"/>
        <v>提106</v>
      </c>
      <c r="C10">
        <v>100008</v>
      </c>
      <c r="D10" t="s">
        <v>136</v>
      </c>
      <c r="E10" t="s">
        <v>139</v>
      </c>
      <c r="F10">
        <v>1491</v>
      </c>
      <c r="G10">
        <v>447.3</v>
      </c>
      <c r="H10">
        <v>371.259</v>
      </c>
      <c r="I10">
        <v>188.16</v>
      </c>
      <c r="J10" t="s">
        <v>24</v>
      </c>
      <c r="K10" t="s">
        <v>28</v>
      </c>
      <c r="L10" t="s">
        <v>140</v>
      </c>
      <c r="M10" t="s">
        <v>137</v>
      </c>
      <c r="N10" t="s">
        <v>138</v>
      </c>
      <c r="O10" t="s">
        <v>30</v>
      </c>
    </row>
    <row r="11" spans="1:15">
      <c r="A11" s="6">
        <v>44075</v>
      </c>
      <c r="B11" t="str">
        <f t="shared" si="0"/>
        <v>提107</v>
      </c>
      <c r="C11">
        <v>100009</v>
      </c>
      <c r="D11" t="s">
        <v>141</v>
      </c>
      <c r="E11" t="s">
        <v>128</v>
      </c>
      <c r="F11">
        <v>960</v>
      </c>
      <c r="G11">
        <v>1152</v>
      </c>
      <c r="H11">
        <v>921.6</v>
      </c>
      <c r="I11">
        <v>87.36</v>
      </c>
      <c r="J11" t="s">
        <v>24</v>
      </c>
      <c r="K11" t="s">
        <v>28</v>
      </c>
      <c r="L11" t="s">
        <v>144</v>
      </c>
      <c r="M11" t="s">
        <v>142</v>
      </c>
      <c r="N11" t="s">
        <v>143</v>
      </c>
      <c r="O11" t="s">
        <v>30</v>
      </c>
    </row>
    <row r="12" spans="1:15">
      <c r="A12" s="6">
        <v>44075</v>
      </c>
      <c r="B12" t="str">
        <f t="shared" si="0"/>
        <v>提108</v>
      </c>
      <c r="C12">
        <v>100010</v>
      </c>
      <c r="D12" t="s">
        <v>145</v>
      </c>
      <c r="E12" t="s">
        <v>148</v>
      </c>
      <c r="F12">
        <v>190</v>
      </c>
      <c r="G12">
        <v>760</v>
      </c>
      <c r="H12">
        <v>653.6</v>
      </c>
      <c r="I12">
        <v>25.8</v>
      </c>
      <c r="J12" t="s">
        <v>24</v>
      </c>
      <c r="K12" t="s">
        <v>28</v>
      </c>
      <c r="L12" t="s">
        <v>149</v>
      </c>
      <c r="M12" t="s">
        <v>146</v>
      </c>
      <c r="N12" t="s">
        <v>147</v>
      </c>
      <c r="O12" t="s">
        <v>85</v>
      </c>
    </row>
    <row r="13" spans="1:15">
      <c r="A13" s="6">
        <v>44075</v>
      </c>
      <c r="B13" t="str">
        <f t="shared" si="0"/>
        <v>提109</v>
      </c>
      <c r="C13">
        <v>100011</v>
      </c>
      <c r="D13" t="s">
        <v>150</v>
      </c>
      <c r="E13" t="s">
        <v>153</v>
      </c>
      <c r="F13">
        <v>1591</v>
      </c>
      <c r="G13">
        <v>1431.9</v>
      </c>
      <c r="H13">
        <v>1159.839</v>
      </c>
      <c r="I13">
        <v>249.63</v>
      </c>
      <c r="J13" t="s">
        <v>24</v>
      </c>
      <c r="K13" t="s">
        <v>42</v>
      </c>
      <c r="L13" t="s">
        <v>154</v>
      </c>
      <c r="M13" t="s">
        <v>151</v>
      </c>
      <c r="N13" t="s">
        <v>152</v>
      </c>
      <c r="O13" t="s">
        <v>67</v>
      </c>
    </row>
    <row r="14" spans="1:15">
      <c r="A14" s="6">
        <v>44075</v>
      </c>
      <c r="B14" t="str">
        <f t="shared" si="0"/>
        <v>提110</v>
      </c>
      <c r="C14">
        <v>100012</v>
      </c>
      <c r="D14" t="s">
        <v>155</v>
      </c>
      <c r="E14" t="s">
        <v>123</v>
      </c>
      <c r="F14">
        <v>3527</v>
      </c>
      <c r="G14">
        <v>5643.2</v>
      </c>
      <c r="H14">
        <v>4796.72</v>
      </c>
      <c r="I14">
        <v>841.11</v>
      </c>
      <c r="J14" t="s">
        <v>24</v>
      </c>
      <c r="K14" t="s">
        <v>36</v>
      </c>
      <c r="L14" t="s">
        <v>158</v>
      </c>
      <c r="M14" t="s">
        <v>156</v>
      </c>
      <c r="N14" t="s">
        <v>157</v>
      </c>
      <c r="O14" t="s">
        <v>67</v>
      </c>
    </row>
    <row r="15" spans="1:15">
      <c r="A15" s="6">
        <v>44075</v>
      </c>
      <c r="B15" t="str">
        <f t="shared" si="0"/>
        <v>提111</v>
      </c>
      <c r="C15">
        <v>100013</v>
      </c>
      <c r="D15" t="s">
        <v>159</v>
      </c>
      <c r="E15" t="s">
        <v>162</v>
      </c>
      <c r="F15">
        <v>2824</v>
      </c>
      <c r="G15">
        <v>7907.2</v>
      </c>
      <c r="H15">
        <v>6404.832</v>
      </c>
      <c r="I15">
        <v>359.34</v>
      </c>
      <c r="J15" t="s">
        <v>24</v>
      </c>
      <c r="K15" t="s">
        <v>28</v>
      </c>
      <c r="L15" t="s">
        <v>163</v>
      </c>
      <c r="M15" t="s">
        <v>160</v>
      </c>
      <c r="N15" t="s">
        <v>161</v>
      </c>
      <c r="O15" t="s">
        <v>30</v>
      </c>
    </row>
    <row r="16" spans="1:15">
      <c r="A16" s="6">
        <v>44075</v>
      </c>
      <c r="B16" t="str">
        <f t="shared" si="0"/>
        <v>提112</v>
      </c>
      <c r="C16">
        <v>100014</v>
      </c>
      <c r="D16" t="s">
        <v>164</v>
      </c>
      <c r="E16" t="s">
        <v>112</v>
      </c>
      <c r="F16">
        <v>4809</v>
      </c>
      <c r="G16">
        <v>16350.6</v>
      </c>
      <c r="H16">
        <v>13570.998</v>
      </c>
      <c r="I16">
        <v>909.09</v>
      </c>
      <c r="J16" t="s">
        <v>24</v>
      </c>
      <c r="K16" t="s">
        <v>36</v>
      </c>
      <c r="L16" t="s">
        <v>167</v>
      </c>
      <c r="M16" t="s">
        <v>165</v>
      </c>
      <c r="N16" t="s">
        <v>166</v>
      </c>
      <c r="O16" t="s">
        <v>31</v>
      </c>
    </row>
    <row r="17" spans="1:15">
      <c r="A17" s="6">
        <v>44075</v>
      </c>
      <c r="B17" t="str">
        <f t="shared" si="0"/>
        <v>提113</v>
      </c>
      <c r="C17">
        <v>100015</v>
      </c>
      <c r="D17" t="s">
        <v>168</v>
      </c>
      <c r="E17" t="s">
        <v>148</v>
      </c>
      <c r="F17">
        <v>1688</v>
      </c>
      <c r="G17">
        <v>2025.6</v>
      </c>
      <c r="H17">
        <v>1640.736</v>
      </c>
      <c r="I17">
        <v>315.36</v>
      </c>
      <c r="J17" t="s">
        <v>24</v>
      </c>
      <c r="K17" t="s">
        <v>36</v>
      </c>
      <c r="L17" t="s">
        <v>171</v>
      </c>
      <c r="M17" t="s">
        <v>169</v>
      </c>
      <c r="N17" t="s">
        <v>170</v>
      </c>
      <c r="O17" t="s">
        <v>30</v>
      </c>
    </row>
    <row r="18" spans="1:15">
      <c r="A18" s="6">
        <v>44075</v>
      </c>
      <c r="B18" t="str">
        <f t="shared" si="0"/>
        <v>提113</v>
      </c>
      <c r="C18">
        <v>100015</v>
      </c>
      <c r="D18" t="s">
        <v>168</v>
      </c>
      <c r="E18" t="s">
        <v>172</v>
      </c>
      <c r="F18">
        <v>4164</v>
      </c>
      <c r="G18">
        <v>3331.2</v>
      </c>
      <c r="H18">
        <v>2898.144</v>
      </c>
      <c r="I18">
        <v>260</v>
      </c>
      <c r="J18" t="s">
        <v>24</v>
      </c>
      <c r="K18" t="s">
        <v>36</v>
      </c>
      <c r="L18" t="s">
        <v>171</v>
      </c>
      <c r="M18" t="s">
        <v>169</v>
      </c>
      <c r="N18" t="s">
        <v>170</v>
      </c>
      <c r="O18" t="s">
        <v>30</v>
      </c>
    </row>
    <row r="19" spans="1:15">
      <c r="A19" s="6">
        <v>44075</v>
      </c>
      <c r="B19" t="str">
        <f t="shared" si="0"/>
        <v>提114</v>
      </c>
      <c r="C19">
        <v>100017</v>
      </c>
      <c r="D19" t="s">
        <v>173</v>
      </c>
      <c r="E19" t="s">
        <v>134</v>
      </c>
      <c r="F19">
        <v>3624</v>
      </c>
      <c r="G19">
        <v>12684</v>
      </c>
      <c r="H19">
        <v>10781.4</v>
      </c>
      <c r="I19">
        <v>698.66</v>
      </c>
      <c r="J19" t="s">
        <v>24</v>
      </c>
      <c r="K19" t="s">
        <v>42</v>
      </c>
      <c r="L19" t="s">
        <v>176</v>
      </c>
      <c r="M19" t="s">
        <v>174</v>
      </c>
      <c r="N19" t="s">
        <v>175</v>
      </c>
      <c r="O19" t="s">
        <v>55</v>
      </c>
    </row>
    <row r="20" spans="1:15">
      <c r="A20" s="6">
        <v>44075</v>
      </c>
      <c r="B20" t="str">
        <f t="shared" si="0"/>
        <v>提115</v>
      </c>
      <c r="C20">
        <v>100018</v>
      </c>
      <c r="D20" t="s">
        <v>177</v>
      </c>
      <c r="E20" t="s">
        <v>180</v>
      </c>
      <c r="F20">
        <v>1704</v>
      </c>
      <c r="G20">
        <v>4260</v>
      </c>
      <c r="H20">
        <v>3535.8</v>
      </c>
      <c r="I20">
        <v>289.28</v>
      </c>
      <c r="J20" t="s">
        <v>24</v>
      </c>
      <c r="K20" t="s">
        <v>28</v>
      </c>
      <c r="L20" t="s">
        <v>181</v>
      </c>
      <c r="M20" t="s">
        <v>178</v>
      </c>
      <c r="N20" t="s">
        <v>179</v>
      </c>
      <c r="O20" t="s">
        <v>31</v>
      </c>
    </row>
    <row r="21" spans="1:15">
      <c r="A21" s="6">
        <v>44075</v>
      </c>
      <c r="B21" t="str">
        <f t="shared" si="0"/>
        <v>提116</v>
      </c>
      <c r="C21">
        <v>100019</v>
      </c>
      <c r="D21" t="s">
        <v>182</v>
      </c>
      <c r="E21" t="s">
        <v>180</v>
      </c>
      <c r="F21">
        <v>2724</v>
      </c>
      <c r="G21">
        <v>1362</v>
      </c>
      <c r="H21">
        <v>1144.08</v>
      </c>
      <c r="I21">
        <v>392.94</v>
      </c>
      <c r="J21" t="s">
        <v>24</v>
      </c>
      <c r="K21" t="s">
        <v>36</v>
      </c>
      <c r="L21" t="s">
        <v>185</v>
      </c>
      <c r="M21" t="s">
        <v>183</v>
      </c>
      <c r="N21" t="s">
        <v>184</v>
      </c>
      <c r="O21" t="s">
        <v>55</v>
      </c>
    </row>
    <row r="22" spans="1:15">
      <c r="A22" s="6">
        <v>44075</v>
      </c>
      <c r="B22" t="str">
        <f t="shared" si="0"/>
        <v>提117</v>
      </c>
      <c r="C22">
        <v>100020</v>
      </c>
      <c r="D22" t="s">
        <v>186</v>
      </c>
      <c r="E22" t="s">
        <v>189</v>
      </c>
      <c r="F22">
        <v>2102</v>
      </c>
      <c r="G22">
        <v>4834.6</v>
      </c>
      <c r="H22">
        <v>3916.026</v>
      </c>
      <c r="I22">
        <v>348.81</v>
      </c>
      <c r="J22" t="s">
        <v>24</v>
      </c>
      <c r="K22" t="s">
        <v>42</v>
      </c>
      <c r="L22" t="s">
        <v>190</v>
      </c>
      <c r="M22" t="s">
        <v>187</v>
      </c>
      <c r="N22" t="s">
        <v>188</v>
      </c>
      <c r="O22" t="s">
        <v>30</v>
      </c>
    </row>
    <row r="23" spans="1:15">
      <c r="A23" s="6">
        <v>44075</v>
      </c>
      <c r="B23" t="str">
        <f t="shared" si="0"/>
        <v>提118</v>
      </c>
      <c r="C23">
        <v>100021</v>
      </c>
      <c r="D23" t="s">
        <v>191</v>
      </c>
      <c r="E23" t="s">
        <v>194</v>
      </c>
      <c r="F23">
        <v>4600</v>
      </c>
      <c r="G23">
        <v>1840</v>
      </c>
      <c r="H23">
        <v>1619.2</v>
      </c>
      <c r="I23">
        <v>876.3</v>
      </c>
      <c r="J23" t="s">
        <v>24</v>
      </c>
      <c r="K23" t="s">
        <v>42</v>
      </c>
      <c r="L23" t="s">
        <v>195</v>
      </c>
      <c r="M23" t="s">
        <v>192</v>
      </c>
      <c r="N23" t="s">
        <v>193</v>
      </c>
      <c r="O23" t="s">
        <v>55</v>
      </c>
    </row>
    <row r="24" spans="1:15">
      <c r="A24" s="6">
        <v>44075</v>
      </c>
      <c r="B24" t="str">
        <f t="shared" si="0"/>
        <v>提119</v>
      </c>
      <c r="C24">
        <v>100022</v>
      </c>
      <c r="D24" t="s">
        <v>196</v>
      </c>
      <c r="E24" t="s">
        <v>199</v>
      </c>
      <c r="F24">
        <v>495</v>
      </c>
      <c r="G24">
        <v>1188</v>
      </c>
      <c r="H24">
        <v>997.92</v>
      </c>
      <c r="I24">
        <v>38.8</v>
      </c>
      <c r="J24" t="s">
        <v>24</v>
      </c>
      <c r="K24" t="s">
        <v>36</v>
      </c>
      <c r="L24" t="s">
        <v>200</v>
      </c>
      <c r="M24" t="s">
        <v>197</v>
      </c>
      <c r="N24" t="s">
        <v>198</v>
      </c>
      <c r="O24" t="s">
        <v>66</v>
      </c>
    </row>
    <row r="25" spans="1:15">
      <c r="A25" s="6">
        <v>44075</v>
      </c>
      <c r="B25" t="str">
        <f t="shared" si="0"/>
        <v>提120</v>
      </c>
      <c r="C25">
        <v>100023</v>
      </c>
      <c r="D25" t="s">
        <v>201</v>
      </c>
      <c r="E25" t="s">
        <v>204</v>
      </c>
      <c r="F25">
        <v>1838</v>
      </c>
      <c r="G25">
        <v>1654.2</v>
      </c>
      <c r="H25">
        <v>1356.444</v>
      </c>
      <c r="I25">
        <v>142.6</v>
      </c>
      <c r="J25" t="s">
        <v>24</v>
      </c>
      <c r="K25" t="s">
        <v>42</v>
      </c>
      <c r="L25" t="s">
        <v>205</v>
      </c>
      <c r="M25" t="s">
        <v>202</v>
      </c>
      <c r="N25" t="s">
        <v>203</v>
      </c>
      <c r="O25" t="s">
        <v>55</v>
      </c>
    </row>
    <row r="26" spans="1:15">
      <c r="A26" s="6">
        <v>44075</v>
      </c>
      <c r="B26" t="str">
        <f t="shared" si="0"/>
        <v>提121</v>
      </c>
      <c r="C26">
        <v>100024</v>
      </c>
      <c r="D26" t="s">
        <v>206</v>
      </c>
      <c r="E26" t="s">
        <v>135</v>
      </c>
      <c r="F26">
        <v>3506</v>
      </c>
      <c r="G26">
        <v>2804.8</v>
      </c>
      <c r="H26">
        <v>2496.272</v>
      </c>
      <c r="I26">
        <v>410.4</v>
      </c>
      <c r="J26" t="s">
        <v>24</v>
      </c>
      <c r="K26" t="s">
        <v>42</v>
      </c>
      <c r="L26" t="s">
        <v>209</v>
      </c>
      <c r="M26" t="s">
        <v>207</v>
      </c>
      <c r="N26" t="s">
        <v>208</v>
      </c>
      <c r="O26" t="s">
        <v>66</v>
      </c>
    </row>
    <row r="27" spans="1:15">
      <c r="A27" s="6">
        <v>44075</v>
      </c>
      <c r="B27" t="str">
        <f t="shared" si="0"/>
        <v>提122</v>
      </c>
      <c r="C27">
        <v>100025</v>
      </c>
      <c r="D27" t="s">
        <v>210</v>
      </c>
      <c r="E27" t="s">
        <v>213</v>
      </c>
      <c r="F27">
        <v>2928</v>
      </c>
      <c r="G27">
        <v>6734.4</v>
      </c>
      <c r="H27">
        <v>5454.864</v>
      </c>
      <c r="I27">
        <v>360.39</v>
      </c>
      <c r="J27" t="s">
        <v>24</v>
      </c>
      <c r="K27" t="s">
        <v>36</v>
      </c>
      <c r="L27" t="s">
        <v>214</v>
      </c>
      <c r="M27" t="s">
        <v>211</v>
      </c>
      <c r="N27" t="s">
        <v>212</v>
      </c>
      <c r="O27" t="s">
        <v>30</v>
      </c>
    </row>
    <row r="28" spans="1:15">
      <c r="A28" s="6">
        <v>44075</v>
      </c>
      <c r="B28" t="str">
        <f t="shared" si="0"/>
        <v>提123</v>
      </c>
      <c r="C28">
        <v>100026</v>
      </c>
      <c r="D28" t="s">
        <v>215</v>
      </c>
      <c r="E28" t="s">
        <v>218</v>
      </c>
      <c r="F28">
        <v>2356</v>
      </c>
      <c r="G28">
        <v>1178</v>
      </c>
      <c r="H28">
        <v>954.18</v>
      </c>
      <c r="I28">
        <v>650.1</v>
      </c>
      <c r="J28" t="s">
        <v>24</v>
      </c>
      <c r="K28" t="s">
        <v>36</v>
      </c>
      <c r="L28" t="s">
        <v>219</v>
      </c>
      <c r="M28" t="s">
        <v>216</v>
      </c>
      <c r="N28" t="s">
        <v>217</v>
      </c>
      <c r="O28" t="s">
        <v>85</v>
      </c>
    </row>
    <row r="29" spans="1:15">
      <c r="A29" s="6">
        <v>44075</v>
      </c>
      <c r="B29" t="str">
        <f t="shared" si="0"/>
        <v>提124</v>
      </c>
      <c r="C29">
        <v>100027</v>
      </c>
      <c r="D29" t="s">
        <v>220</v>
      </c>
      <c r="E29" t="s">
        <v>112</v>
      </c>
      <c r="F29">
        <v>1050</v>
      </c>
      <c r="G29">
        <v>3255</v>
      </c>
      <c r="H29">
        <v>2896.95</v>
      </c>
      <c r="I29">
        <v>98.58</v>
      </c>
      <c r="J29" t="s">
        <v>24</v>
      </c>
      <c r="K29" t="s">
        <v>28</v>
      </c>
      <c r="L29" t="s">
        <v>223</v>
      </c>
      <c r="M29" t="s">
        <v>221</v>
      </c>
      <c r="N29" t="s">
        <v>222</v>
      </c>
      <c r="O29" t="s">
        <v>84</v>
      </c>
    </row>
    <row r="30" spans="1:15">
      <c r="A30" s="6">
        <v>44075</v>
      </c>
      <c r="B30" t="str">
        <f t="shared" si="0"/>
        <v>提125</v>
      </c>
      <c r="C30">
        <v>100028</v>
      </c>
      <c r="D30" t="s">
        <v>224</v>
      </c>
      <c r="E30" t="s">
        <v>227</v>
      </c>
      <c r="F30">
        <v>4336</v>
      </c>
      <c r="G30">
        <v>5203.2</v>
      </c>
      <c r="H30">
        <v>4162.56</v>
      </c>
      <c r="I30">
        <v>374.4</v>
      </c>
      <c r="J30" t="s">
        <v>24</v>
      </c>
      <c r="K30" t="s">
        <v>36</v>
      </c>
      <c r="L30" t="s">
        <v>228</v>
      </c>
      <c r="M30" t="s">
        <v>225</v>
      </c>
      <c r="N30" t="s">
        <v>226</v>
      </c>
      <c r="O30" t="s">
        <v>84</v>
      </c>
    </row>
    <row r="31" spans="1:15">
      <c r="A31" s="6">
        <v>44075</v>
      </c>
      <c r="B31" t="str">
        <f t="shared" si="0"/>
        <v>提126</v>
      </c>
      <c r="C31">
        <v>100029</v>
      </c>
      <c r="D31" t="s">
        <v>229</v>
      </c>
      <c r="E31" t="s">
        <v>232</v>
      </c>
      <c r="F31">
        <v>4881</v>
      </c>
      <c r="G31">
        <v>14154.9</v>
      </c>
      <c r="H31">
        <v>12173.214</v>
      </c>
      <c r="I31">
        <v>473.36</v>
      </c>
      <c r="J31" t="s">
        <v>24</v>
      </c>
      <c r="K31" t="s">
        <v>28</v>
      </c>
      <c r="L31" t="s">
        <v>233</v>
      </c>
      <c r="M31" t="s">
        <v>230</v>
      </c>
      <c r="N31" t="s">
        <v>231</v>
      </c>
      <c r="O31" t="s">
        <v>30</v>
      </c>
    </row>
    <row r="32" spans="1:15">
      <c r="A32" s="6">
        <v>44075</v>
      </c>
      <c r="B32" t="str">
        <f t="shared" si="0"/>
        <v>提126</v>
      </c>
      <c r="C32">
        <v>100029</v>
      </c>
      <c r="D32" t="s">
        <v>229</v>
      </c>
      <c r="E32" t="s">
        <v>213</v>
      </c>
      <c r="F32">
        <v>3222</v>
      </c>
      <c r="G32">
        <v>6766.2</v>
      </c>
      <c r="H32">
        <v>5751.27</v>
      </c>
      <c r="I32">
        <v>908.04</v>
      </c>
      <c r="J32" t="s">
        <v>24</v>
      </c>
      <c r="K32" t="s">
        <v>28</v>
      </c>
      <c r="L32" t="s">
        <v>233</v>
      </c>
      <c r="M32" t="s">
        <v>230</v>
      </c>
      <c r="N32" t="s">
        <v>231</v>
      </c>
      <c r="O32" t="s">
        <v>84</v>
      </c>
    </row>
    <row r="33" spans="1:15">
      <c r="A33" s="6">
        <v>44075</v>
      </c>
      <c r="B33" t="str">
        <f t="shared" si="0"/>
        <v>提126</v>
      </c>
      <c r="C33">
        <v>100029</v>
      </c>
      <c r="D33" t="s">
        <v>229</v>
      </c>
      <c r="E33" t="s">
        <v>234</v>
      </c>
      <c r="F33">
        <v>4414</v>
      </c>
      <c r="G33">
        <v>7062.4</v>
      </c>
      <c r="H33">
        <v>5649.92</v>
      </c>
      <c r="I33">
        <v>565.47</v>
      </c>
      <c r="J33" t="s">
        <v>24</v>
      </c>
      <c r="K33" t="s">
        <v>28</v>
      </c>
      <c r="L33" t="s">
        <v>233</v>
      </c>
      <c r="M33" t="s">
        <v>230</v>
      </c>
      <c r="N33" t="s">
        <v>231</v>
      </c>
      <c r="O33" t="s">
        <v>85</v>
      </c>
    </row>
    <row r="34" spans="1:15">
      <c r="A34" s="6">
        <v>44075</v>
      </c>
      <c r="B34" t="str">
        <f t="shared" si="0"/>
        <v>提126</v>
      </c>
      <c r="C34">
        <v>100029</v>
      </c>
      <c r="D34" t="s">
        <v>229</v>
      </c>
      <c r="E34" t="s">
        <v>199</v>
      </c>
      <c r="F34">
        <v>3380</v>
      </c>
      <c r="G34">
        <v>9126</v>
      </c>
      <c r="H34">
        <v>8122.14</v>
      </c>
      <c r="I34">
        <v>666.93</v>
      </c>
      <c r="J34" t="s">
        <v>24</v>
      </c>
      <c r="K34" t="s">
        <v>28</v>
      </c>
      <c r="L34" t="s">
        <v>233</v>
      </c>
      <c r="M34" t="s">
        <v>230</v>
      </c>
      <c r="N34" t="s">
        <v>231</v>
      </c>
      <c r="O34" t="s">
        <v>31</v>
      </c>
    </row>
    <row r="35" spans="1:15">
      <c r="A35" s="6">
        <v>44075</v>
      </c>
      <c r="B35" t="str">
        <f t="shared" si="0"/>
        <v>提127</v>
      </c>
      <c r="C35">
        <v>100033</v>
      </c>
      <c r="D35" t="s">
        <v>235</v>
      </c>
      <c r="E35" t="s">
        <v>112</v>
      </c>
      <c r="F35">
        <v>2184</v>
      </c>
      <c r="G35">
        <v>3057.6</v>
      </c>
      <c r="H35">
        <v>2476.656</v>
      </c>
      <c r="I35">
        <v>360.68</v>
      </c>
      <c r="J35" t="s">
        <v>24</v>
      </c>
      <c r="K35" t="s">
        <v>36</v>
      </c>
      <c r="L35" t="s">
        <v>238</v>
      </c>
      <c r="M35" t="s">
        <v>236</v>
      </c>
      <c r="N35" t="s">
        <v>237</v>
      </c>
      <c r="O35" t="s">
        <v>31</v>
      </c>
    </row>
    <row r="36" spans="1:15">
      <c r="A36" s="6">
        <v>44075</v>
      </c>
      <c r="B36" t="str">
        <f t="shared" si="0"/>
        <v>提128</v>
      </c>
      <c r="C36">
        <v>100034</v>
      </c>
      <c r="D36" t="s">
        <v>239</v>
      </c>
      <c r="E36" t="s">
        <v>189</v>
      </c>
      <c r="F36">
        <v>2145</v>
      </c>
      <c r="G36">
        <v>7078.5</v>
      </c>
      <c r="H36">
        <v>5733.585</v>
      </c>
      <c r="I36">
        <v>174.15</v>
      </c>
      <c r="J36" t="s">
        <v>24</v>
      </c>
      <c r="K36" t="s">
        <v>36</v>
      </c>
      <c r="L36" t="s">
        <v>242</v>
      </c>
      <c r="M36" t="s">
        <v>240</v>
      </c>
      <c r="N36" t="s">
        <v>241</v>
      </c>
      <c r="O36" t="s">
        <v>31</v>
      </c>
    </row>
    <row r="37" spans="1:15">
      <c r="A37" s="6">
        <v>44075</v>
      </c>
      <c r="B37" t="str">
        <f t="shared" si="0"/>
        <v>提129</v>
      </c>
      <c r="C37">
        <v>100035</v>
      </c>
      <c r="D37" t="s">
        <v>243</v>
      </c>
      <c r="E37" t="s">
        <v>134</v>
      </c>
      <c r="F37">
        <v>118</v>
      </c>
      <c r="G37">
        <v>401.2</v>
      </c>
      <c r="H37">
        <v>353.056</v>
      </c>
      <c r="I37">
        <v>11.7</v>
      </c>
      <c r="J37" t="s">
        <v>24</v>
      </c>
      <c r="K37" t="s">
        <v>28</v>
      </c>
      <c r="L37" t="s">
        <v>246</v>
      </c>
      <c r="M37" t="s">
        <v>244</v>
      </c>
      <c r="N37" t="s">
        <v>245</v>
      </c>
      <c r="O37" t="s">
        <v>85</v>
      </c>
    </row>
    <row r="38" spans="1:15">
      <c r="A38" s="6">
        <v>44075</v>
      </c>
      <c r="B38" t="str">
        <f t="shared" si="0"/>
        <v>提130</v>
      </c>
      <c r="C38">
        <v>100036</v>
      </c>
      <c r="D38" t="s">
        <v>247</v>
      </c>
      <c r="E38" t="s">
        <v>134</v>
      </c>
      <c r="F38">
        <v>1331</v>
      </c>
      <c r="G38">
        <v>1197.9</v>
      </c>
      <c r="H38">
        <v>970.299</v>
      </c>
      <c r="I38">
        <v>208.82</v>
      </c>
      <c r="J38" t="s">
        <v>24</v>
      </c>
      <c r="K38" t="s">
        <v>36</v>
      </c>
      <c r="L38" t="s">
        <v>250</v>
      </c>
      <c r="M38" t="s">
        <v>248</v>
      </c>
      <c r="N38" t="s">
        <v>249</v>
      </c>
      <c r="O38" t="s">
        <v>56</v>
      </c>
    </row>
    <row r="39" spans="1:15">
      <c r="A39" s="6">
        <v>44075</v>
      </c>
      <c r="B39" t="str">
        <f t="shared" si="0"/>
        <v>提131</v>
      </c>
      <c r="C39">
        <v>100037</v>
      </c>
      <c r="D39" t="s">
        <v>251</v>
      </c>
      <c r="E39" t="s">
        <v>232</v>
      </c>
      <c r="F39">
        <v>4095</v>
      </c>
      <c r="G39">
        <v>14742</v>
      </c>
      <c r="H39">
        <v>12383.28</v>
      </c>
      <c r="I39">
        <v>391.14</v>
      </c>
      <c r="J39" t="s">
        <v>24</v>
      </c>
      <c r="K39" t="s">
        <v>36</v>
      </c>
      <c r="L39" t="s">
        <v>254</v>
      </c>
      <c r="M39" t="s">
        <v>252</v>
      </c>
      <c r="N39" t="s">
        <v>253</v>
      </c>
      <c r="O39" t="s">
        <v>67</v>
      </c>
    </row>
    <row r="40" spans="1:15">
      <c r="A40" s="6">
        <v>44075</v>
      </c>
      <c r="B40" t="str">
        <f t="shared" si="0"/>
        <v>提132</v>
      </c>
      <c r="C40">
        <v>100038</v>
      </c>
      <c r="D40" t="s">
        <v>255</v>
      </c>
      <c r="E40" t="s">
        <v>112</v>
      </c>
      <c r="F40">
        <v>1123</v>
      </c>
      <c r="G40">
        <v>1123</v>
      </c>
      <c r="H40">
        <v>1010.7</v>
      </c>
      <c r="I40">
        <v>126.48</v>
      </c>
      <c r="J40" t="s">
        <v>24</v>
      </c>
      <c r="K40" t="s">
        <v>28</v>
      </c>
      <c r="L40" t="s">
        <v>258</v>
      </c>
      <c r="M40" t="s">
        <v>256</v>
      </c>
      <c r="N40" t="s">
        <v>257</v>
      </c>
      <c r="O40" t="s">
        <v>56</v>
      </c>
    </row>
    <row r="41" spans="1:15">
      <c r="A41" s="6">
        <v>44075</v>
      </c>
      <c r="B41" t="str">
        <f t="shared" si="0"/>
        <v>提133</v>
      </c>
      <c r="C41">
        <v>100039</v>
      </c>
      <c r="D41" t="s">
        <v>259</v>
      </c>
      <c r="E41" t="s">
        <v>213</v>
      </c>
      <c r="F41">
        <v>2932</v>
      </c>
      <c r="G41">
        <v>11728</v>
      </c>
      <c r="H41">
        <v>9499.68</v>
      </c>
      <c r="I41">
        <v>196.98</v>
      </c>
      <c r="J41" t="s">
        <v>24</v>
      </c>
      <c r="K41" t="s">
        <v>42</v>
      </c>
      <c r="L41" t="s">
        <v>262</v>
      </c>
      <c r="M41" t="s">
        <v>260</v>
      </c>
      <c r="N41" t="s">
        <v>261</v>
      </c>
      <c r="O41" t="s">
        <v>56</v>
      </c>
    </row>
    <row r="42" spans="1:15">
      <c r="A42" s="6">
        <v>44075</v>
      </c>
      <c r="B42" t="str">
        <f t="shared" si="0"/>
        <v>提133</v>
      </c>
      <c r="C42">
        <v>100039</v>
      </c>
      <c r="D42" t="s">
        <v>259</v>
      </c>
      <c r="E42" t="s">
        <v>180</v>
      </c>
      <c r="F42">
        <v>1113</v>
      </c>
      <c r="G42">
        <v>667.8</v>
      </c>
      <c r="H42">
        <v>560.952</v>
      </c>
      <c r="I42">
        <v>198.32</v>
      </c>
      <c r="J42" t="s">
        <v>24</v>
      </c>
      <c r="K42" t="s">
        <v>42</v>
      </c>
      <c r="L42" t="s">
        <v>262</v>
      </c>
      <c r="M42" t="s">
        <v>260</v>
      </c>
      <c r="N42" t="s">
        <v>261</v>
      </c>
      <c r="O42" t="s">
        <v>85</v>
      </c>
    </row>
    <row r="43" spans="1:15">
      <c r="A43" s="6">
        <v>44075</v>
      </c>
      <c r="B43" t="str">
        <f t="shared" si="0"/>
        <v>提134</v>
      </c>
      <c r="C43">
        <v>100041</v>
      </c>
      <c r="D43" t="s">
        <v>263</v>
      </c>
      <c r="E43" t="s">
        <v>148</v>
      </c>
      <c r="F43">
        <v>4521</v>
      </c>
      <c r="G43">
        <v>4973.1</v>
      </c>
      <c r="H43">
        <v>4127.673</v>
      </c>
      <c r="I43">
        <v>766.14</v>
      </c>
      <c r="J43" t="s">
        <v>24</v>
      </c>
      <c r="K43" t="s">
        <v>42</v>
      </c>
      <c r="L43" t="s">
        <v>266</v>
      </c>
      <c r="M43" t="s">
        <v>264</v>
      </c>
      <c r="N43" t="s">
        <v>265</v>
      </c>
      <c r="O43" t="s">
        <v>66</v>
      </c>
    </row>
    <row r="44" spans="1:15">
      <c r="A44" s="6">
        <v>44075</v>
      </c>
      <c r="B44" t="str">
        <f t="shared" si="0"/>
        <v>提135</v>
      </c>
      <c r="C44">
        <v>100042</v>
      </c>
      <c r="D44" t="s">
        <v>267</v>
      </c>
      <c r="E44" t="s">
        <v>139</v>
      </c>
      <c r="F44">
        <v>111</v>
      </c>
      <c r="G44">
        <v>166.5</v>
      </c>
      <c r="H44">
        <v>134.865</v>
      </c>
      <c r="I44">
        <v>19.21</v>
      </c>
      <c r="J44" t="s">
        <v>24</v>
      </c>
      <c r="K44" t="s">
        <v>42</v>
      </c>
      <c r="L44" t="s">
        <v>270</v>
      </c>
      <c r="M44" t="s">
        <v>268</v>
      </c>
      <c r="N44" t="s">
        <v>269</v>
      </c>
      <c r="O44" t="s">
        <v>30</v>
      </c>
    </row>
    <row r="45" spans="1:15">
      <c r="A45" s="6">
        <v>44075</v>
      </c>
      <c r="B45" t="str">
        <f t="shared" si="0"/>
        <v>提136</v>
      </c>
      <c r="C45">
        <v>100043</v>
      </c>
      <c r="D45" t="s">
        <v>271</v>
      </c>
      <c r="E45" t="s">
        <v>274</v>
      </c>
      <c r="F45">
        <v>4959</v>
      </c>
      <c r="G45">
        <v>5950.8</v>
      </c>
      <c r="H45">
        <v>4879.656</v>
      </c>
      <c r="I45">
        <v>283.1</v>
      </c>
      <c r="J45" t="s">
        <v>24</v>
      </c>
      <c r="K45" t="s">
        <v>42</v>
      </c>
      <c r="L45" t="s">
        <v>275</v>
      </c>
      <c r="M45" t="s">
        <v>272</v>
      </c>
      <c r="N45" t="s">
        <v>273</v>
      </c>
      <c r="O45" t="s">
        <v>55</v>
      </c>
    </row>
    <row r="46" spans="1:15">
      <c r="A46" s="6">
        <v>44075</v>
      </c>
      <c r="B46" t="str">
        <f t="shared" si="0"/>
        <v>提137</v>
      </c>
      <c r="C46">
        <v>100044</v>
      </c>
      <c r="D46" t="s">
        <v>276</v>
      </c>
      <c r="E46" t="s">
        <v>135</v>
      </c>
      <c r="F46">
        <v>4806</v>
      </c>
      <c r="G46">
        <v>16340.4</v>
      </c>
      <c r="H46">
        <v>13235.724</v>
      </c>
      <c r="I46">
        <v>541.44</v>
      </c>
      <c r="J46" t="s">
        <v>24</v>
      </c>
      <c r="K46" t="s">
        <v>36</v>
      </c>
      <c r="L46" t="s">
        <v>279</v>
      </c>
      <c r="M46" t="s">
        <v>277</v>
      </c>
      <c r="N46" t="s">
        <v>278</v>
      </c>
      <c r="O46" t="s">
        <v>84</v>
      </c>
    </row>
    <row r="47" spans="1:15">
      <c r="A47" s="6">
        <v>44075</v>
      </c>
      <c r="B47" t="str">
        <f t="shared" si="0"/>
        <v>提138</v>
      </c>
      <c r="C47">
        <v>100045</v>
      </c>
      <c r="D47" t="s">
        <v>280</v>
      </c>
      <c r="E47" t="s">
        <v>227</v>
      </c>
      <c r="F47">
        <v>701</v>
      </c>
      <c r="G47">
        <v>280.4</v>
      </c>
      <c r="H47">
        <v>224.32</v>
      </c>
      <c r="I47">
        <v>82.32</v>
      </c>
      <c r="J47" t="s">
        <v>24</v>
      </c>
      <c r="K47" t="s">
        <v>28</v>
      </c>
      <c r="L47" t="s">
        <v>283</v>
      </c>
      <c r="M47" t="s">
        <v>281</v>
      </c>
      <c r="N47" t="s">
        <v>282</v>
      </c>
      <c r="O47" t="s">
        <v>56</v>
      </c>
    </row>
    <row r="48" spans="1:15">
      <c r="A48" s="6">
        <v>44075</v>
      </c>
      <c r="B48" t="str">
        <f t="shared" si="0"/>
        <v>提138</v>
      </c>
      <c r="C48">
        <v>100045</v>
      </c>
      <c r="D48" t="s">
        <v>280</v>
      </c>
      <c r="E48" t="s">
        <v>112</v>
      </c>
      <c r="F48">
        <v>3504</v>
      </c>
      <c r="G48">
        <v>12964.8</v>
      </c>
      <c r="H48">
        <v>10371.84</v>
      </c>
      <c r="I48">
        <v>684</v>
      </c>
      <c r="J48" t="s">
        <v>24</v>
      </c>
      <c r="K48" t="s">
        <v>28</v>
      </c>
      <c r="L48" t="s">
        <v>283</v>
      </c>
      <c r="M48" t="s">
        <v>281</v>
      </c>
      <c r="N48" t="s">
        <v>282</v>
      </c>
      <c r="O48" t="s">
        <v>30</v>
      </c>
    </row>
    <row r="49" spans="1:15">
      <c r="A49" s="6">
        <v>44075</v>
      </c>
      <c r="B49" t="str">
        <f t="shared" si="0"/>
        <v>提139</v>
      </c>
      <c r="C49">
        <v>100047</v>
      </c>
      <c r="D49" t="s">
        <v>284</v>
      </c>
      <c r="E49" t="s">
        <v>234</v>
      </c>
      <c r="F49">
        <v>4375</v>
      </c>
      <c r="G49">
        <v>4812.5</v>
      </c>
      <c r="H49">
        <v>3898.125</v>
      </c>
      <c r="I49">
        <v>631.39</v>
      </c>
      <c r="J49" t="s">
        <v>24</v>
      </c>
      <c r="K49" t="s">
        <v>36</v>
      </c>
      <c r="L49" t="s">
        <v>287</v>
      </c>
      <c r="M49" t="s">
        <v>285</v>
      </c>
      <c r="N49" t="s">
        <v>286</v>
      </c>
      <c r="O49" t="s">
        <v>66</v>
      </c>
    </row>
    <row r="50" spans="1:15">
      <c r="A50" s="6">
        <v>44075</v>
      </c>
      <c r="B50" t="str">
        <f t="shared" si="0"/>
        <v>提140</v>
      </c>
      <c r="C50">
        <v>100048</v>
      </c>
      <c r="D50" t="s">
        <v>288</v>
      </c>
      <c r="E50" t="s">
        <v>199</v>
      </c>
      <c r="F50">
        <v>2291</v>
      </c>
      <c r="G50">
        <v>5956.6</v>
      </c>
      <c r="H50">
        <v>5122.676</v>
      </c>
      <c r="I50">
        <v>344.02</v>
      </c>
      <c r="J50" t="s">
        <v>24</v>
      </c>
      <c r="K50" t="s">
        <v>36</v>
      </c>
      <c r="L50" t="s">
        <v>291</v>
      </c>
      <c r="M50" t="s">
        <v>289</v>
      </c>
      <c r="N50" t="s">
        <v>290</v>
      </c>
      <c r="O50" t="s">
        <v>85</v>
      </c>
    </row>
    <row r="51" spans="1:15">
      <c r="A51" s="6">
        <v>44075</v>
      </c>
      <c r="B51" t="str">
        <f t="shared" si="0"/>
        <v>提141</v>
      </c>
      <c r="C51">
        <v>100049</v>
      </c>
      <c r="D51" t="s">
        <v>292</v>
      </c>
      <c r="E51" t="s">
        <v>123</v>
      </c>
      <c r="F51">
        <v>4354</v>
      </c>
      <c r="G51">
        <v>1306.2</v>
      </c>
      <c r="H51">
        <v>1058.022</v>
      </c>
      <c r="I51">
        <v>470.4</v>
      </c>
      <c r="J51" t="s">
        <v>24</v>
      </c>
      <c r="K51" t="s">
        <v>36</v>
      </c>
      <c r="L51" t="s">
        <v>295</v>
      </c>
      <c r="M51" t="s">
        <v>293</v>
      </c>
      <c r="N51" t="s">
        <v>294</v>
      </c>
      <c r="O51" t="s">
        <v>31</v>
      </c>
    </row>
    <row r="52" spans="1:15">
      <c r="A52" s="6">
        <v>44075</v>
      </c>
      <c r="B52" t="str">
        <f t="shared" si="0"/>
        <v>提142</v>
      </c>
      <c r="C52">
        <v>100050</v>
      </c>
      <c r="D52" t="s">
        <v>296</v>
      </c>
      <c r="E52" t="s">
        <v>162</v>
      </c>
      <c r="F52">
        <v>2209</v>
      </c>
      <c r="G52">
        <v>8836</v>
      </c>
      <c r="H52">
        <v>7952.4</v>
      </c>
      <c r="I52">
        <v>130.2</v>
      </c>
      <c r="J52" t="s">
        <v>24</v>
      </c>
      <c r="K52" t="s">
        <v>36</v>
      </c>
      <c r="L52" t="s">
        <v>299</v>
      </c>
      <c r="M52" t="s">
        <v>297</v>
      </c>
      <c r="N52" t="s">
        <v>298</v>
      </c>
      <c r="O52" t="s">
        <v>84</v>
      </c>
    </row>
    <row r="53" spans="1:15">
      <c r="A53" s="6">
        <v>44075</v>
      </c>
      <c r="B53" t="str">
        <f t="shared" si="0"/>
        <v>提142</v>
      </c>
      <c r="C53">
        <v>100050</v>
      </c>
      <c r="D53" t="s">
        <v>296</v>
      </c>
      <c r="E53" t="s">
        <v>180</v>
      </c>
      <c r="F53">
        <v>1657</v>
      </c>
      <c r="G53">
        <v>1822.7</v>
      </c>
      <c r="H53">
        <v>1531.068</v>
      </c>
      <c r="I53">
        <v>306.24</v>
      </c>
      <c r="J53" t="s">
        <v>24</v>
      </c>
      <c r="K53" t="s">
        <v>36</v>
      </c>
      <c r="L53" t="s">
        <v>299</v>
      </c>
      <c r="M53" t="s">
        <v>297</v>
      </c>
      <c r="N53" t="s">
        <v>298</v>
      </c>
      <c r="O53" t="s">
        <v>55</v>
      </c>
    </row>
    <row r="54" spans="1:15">
      <c r="A54" s="6">
        <v>44075</v>
      </c>
      <c r="B54" t="str">
        <f t="shared" si="0"/>
        <v>提143</v>
      </c>
      <c r="C54">
        <v>100052</v>
      </c>
      <c r="D54" t="s">
        <v>300</v>
      </c>
      <c r="E54" t="s">
        <v>199</v>
      </c>
      <c r="F54">
        <v>1581</v>
      </c>
      <c r="G54">
        <v>5059.2</v>
      </c>
      <c r="H54">
        <v>4249.728</v>
      </c>
      <c r="I54">
        <v>90.25</v>
      </c>
      <c r="J54" t="s">
        <v>24</v>
      </c>
      <c r="K54" t="s">
        <v>28</v>
      </c>
      <c r="L54" t="s">
        <v>303</v>
      </c>
      <c r="M54" t="s">
        <v>301</v>
      </c>
      <c r="N54" t="s">
        <v>302</v>
      </c>
      <c r="O54" t="s">
        <v>30</v>
      </c>
    </row>
    <row r="55" spans="1:15">
      <c r="A55" s="6">
        <v>44075</v>
      </c>
      <c r="B55" t="str">
        <f t="shared" si="0"/>
        <v>提144</v>
      </c>
      <c r="C55">
        <v>100053</v>
      </c>
      <c r="D55" t="s">
        <v>304</v>
      </c>
      <c r="E55" t="s">
        <v>162</v>
      </c>
      <c r="F55">
        <v>2946</v>
      </c>
      <c r="G55">
        <v>10311</v>
      </c>
      <c r="H55">
        <v>9073.68</v>
      </c>
      <c r="I55">
        <v>292.05</v>
      </c>
      <c r="J55" t="s">
        <v>24</v>
      </c>
      <c r="K55" t="s">
        <v>36</v>
      </c>
      <c r="L55" t="s">
        <v>307</v>
      </c>
      <c r="M55" t="s">
        <v>305</v>
      </c>
      <c r="N55" t="s">
        <v>306</v>
      </c>
      <c r="O55" t="s">
        <v>30</v>
      </c>
    </row>
    <row r="56" spans="1:15">
      <c r="A56" s="6">
        <v>44075</v>
      </c>
      <c r="B56" t="str">
        <f t="shared" si="0"/>
        <v>提145</v>
      </c>
      <c r="C56">
        <v>100054</v>
      </c>
      <c r="D56" t="s">
        <v>308</v>
      </c>
      <c r="E56" t="s">
        <v>128</v>
      </c>
      <c r="F56">
        <v>4858</v>
      </c>
      <c r="G56">
        <v>10687.6</v>
      </c>
      <c r="H56">
        <v>8977.584</v>
      </c>
      <c r="I56">
        <v>875.76</v>
      </c>
      <c r="J56" t="s">
        <v>24</v>
      </c>
      <c r="K56" t="s">
        <v>42</v>
      </c>
      <c r="L56" t="s">
        <v>311</v>
      </c>
      <c r="M56" t="s">
        <v>309</v>
      </c>
      <c r="N56" t="s">
        <v>310</v>
      </c>
      <c r="O56" t="s">
        <v>56</v>
      </c>
    </row>
    <row r="57" spans="1:15">
      <c r="A57" s="6">
        <v>44075</v>
      </c>
      <c r="B57" t="str">
        <f t="shared" si="0"/>
        <v>提146</v>
      </c>
      <c r="C57">
        <v>100055</v>
      </c>
      <c r="D57" t="s">
        <v>312</v>
      </c>
      <c r="E57" t="s">
        <v>315</v>
      </c>
      <c r="F57">
        <v>1894</v>
      </c>
      <c r="G57">
        <v>2083.4</v>
      </c>
      <c r="H57">
        <v>1750.056</v>
      </c>
      <c r="I57">
        <v>152</v>
      </c>
      <c r="J57" t="s">
        <v>24</v>
      </c>
      <c r="K57" t="s">
        <v>28</v>
      </c>
      <c r="L57" t="s">
        <v>316</v>
      </c>
      <c r="M57" t="s">
        <v>313</v>
      </c>
      <c r="N57" t="s">
        <v>314</v>
      </c>
      <c r="O57" t="s">
        <v>55</v>
      </c>
    </row>
    <row r="58" spans="1:15">
      <c r="A58" s="6">
        <v>44075</v>
      </c>
      <c r="B58" t="str">
        <f t="shared" si="0"/>
        <v>提147</v>
      </c>
      <c r="C58">
        <v>100056</v>
      </c>
      <c r="D58" t="s">
        <v>317</v>
      </c>
      <c r="E58" t="s">
        <v>148</v>
      </c>
      <c r="F58">
        <v>4862</v>
      </c>
      <c r="G58">
        <v>2917.2</v>
      </c>
      <c r="H58">
        <v>2450.448</v>
      </c>
      <c r="I58">
        <v>499.32</v>
      </c>
      <c r="J58" t="s">
        <v>24</v>
      </c>
      <c r="K58" t="s">
        <v>42</v>
      </c>
      <c r="L58" t="s">
        <v>320</v>
      </c>
      <c r="M58" t="s">
        <v>318</v>
      </c>
      <c r="N58" t="s">
        <v>319</v>
      </c>
      <c r="O58" t="s">
        <v>31</v>
      </c>
    </row>
    <row r="59" spans="1:15">
      <c r="A59" s="6">
        <v>44075</v>
      </c>
      <c r="B59" t="str">
        <f t="shared" si="0"/>
        <v>提148</v>
      </c>
      <c r="C59">
        <v>100057</v>
      </c>
      <c r="D59" t="s">
        <v>321</v>
      </c>
      <c r="E59" t="s">
        <v>123</v>
      </c>
      <c r="F59">
        <v>4861</v>
      </c>
      <c r="G59">
        <v>1458.3</v>
      </c>
      <c r="H59">
        <v>1268.721</v>
      </c>
      <c r="I59">
        <v>311.04</v>
      </c>
      <c r="J59" t="s">
        <v>24</v>
      </c>
      <c r="K59" t="s">
        <v>36</v>
      </c>
      <c r="L59" t="s">
        <v>324</v>
      </c>
      <c r="M59" t="s">
        <v>322</v>
      </c>
      <c r="N59" t="s">
        <v>323</v>
      </c>
      <c r="O59" t="s">
        <v>31</v>
      </c>
    </row>
    <row r="60" spans="1:15">
      <c r="A60" s="6">
        <v>44075</v>
      </c>
      <c r="B60" t="str">
        <f t="shared" si="0"/>
        <v>提148</v>
      </c>
      <c r="C60">
        <v>100057</v>
      </c>
      <c r="D60" t="s">
        <v>321</v>
      </c>
      <c r="E60" t="s">
        <v>325</v>
      </c>
      <c r="F60">
        <v>1527</v>
      </c>
      <c r="G60">
        <v>1068.9</v>
      </c>
      <c r="H60">
        <v>887.187</v>
      </c>
      <c r="I60">
        <v>198.24</v>
      </c>
      <c r="J60" t="s">
        <v>24</v>
      </c>
      <c r="K60" t="s">
        <v>36</v>
      </c>
      <c r="L60" t="s">
        <v>324</v>
      </c>
      <c r="M60" t="s">
        <v>322</v>
      </c>
      <c r="N60" t="s">
        <v>323</v>
      </c>
      <c r="O60" t="s">
        <v>55</v>
      </c>
    </row>
    <row r="61" spans="1:15">
      <c r="A61" s="6">
        <v>44075</v>
      </c>
      <c r="B61" t="str">
        <f t="shared" si="0"/>
        <v>提149</v>
      </c>
      <c r="C61">
        <v>100059</v>
      </c>
      <c r="D61" t="s">
        <v>326</v>
      </c>
      <c r="E61" t="s">
        <v>199</v>
      </c>
      <c r="F61">
        <v>3362</v>
      </c>
      <c r="G61">
        <v>6724</v>
      </c>
      <c r="H61">
        <v>5984.36</v>
      </c>
      <c r="I61">
        <v>443.52</v>
      </c>
      <c r="J61" t="s">
        <v>24</v>
      </c>
      <c r="K61" t="s">
        <v>42</v>
      </c>
      <c r="L61" t="s">
        <v>329</v>
      </c>
      <c r="M61" t="s">
        <v>327</v>
      </c>
      <c r="N61" t="s">
        <v>328</v>
      </c>
      <c r="O61" t="s">
        <v>67</v>
      </c>
    </row>
    <row r="62" spans="1:15">
      <c r="A62" s="6">
        <v>44075</v>
      </c>
      <c r="B62" t="str">
        <f t="shared" si="0"/>
        <v>提150</v>
      </c>
      <c r="C62">
        <v>100060</v>
      </c>
      <c r="D62" t="s">
        <v>330</v>
      </c>
      <c r="E62" t="s">
        <v>134</v>
      </c>
      <c r="F62">
        <v>399</v>
      </c>
      <c r="G62">
        <v>39.9</v>
      </c>
      <c r="H62">
        <v>34.314</v>
      </c>
      <c r="I62">
        <v>46.48</v>
      </c>
      <c r="J62" t="s">
        <v>24</v>
      </c>
      <c r="K62" t="s">
        <v>28</v>
      </c>
      <c r="L62" t="s">
        <v>333</v>
      </c>
      <c r="M62" t="s">
        <v>331</v>
      </c>
      <c r="N62" t="s">
        <v>332</v>
      </c>
      <c r="O62" t="s">
        <v>30</v>
      </c>
    </row>
    <row r="63" spans="1:15">
      <c r="A63" s="6">
        <v>44075</v>
      </c>
      <c r="B63" t="str">
        <f t="shared" si="0"/>
        <v>提151</v>
      </c>
      <c r="C63">
        <v>100061</v>
      </c>
      <c r="D63" t="s">
        <v>334</v>
      </c>
      <c r="E63" t="s">
        <v>204</v>
      </c>
      <c r="F63">
        <v>2503</v>
      </c>
      <c r="G63">
        <v>8009.6</v>
      </c>
      <c r="H63">
        <v>6808.16</v>
      </c>
      <c r="I63">
        <v>312</v>
      </c>
      <c r="J63" t="s">
        <v>24</v>
      </c>
      <c r="K63" t="s">
        <v>28</v>
      </c>
      <c r="L63" t="s">
        <v>337</v>
      </c>
      <c r="M63" t="s">
        <v>335</v>
      </c>
      <c r="N63" t="s">
        <v>336</v>
      </c>
      <c r="O63" t="s">
        <v>30</v>
      </c>
    </row>
    <row r="64" spans="1:15">
      <c r="A64" s="6">
        <v>44075</v>
      </c>
      <c r="B64" t="str">
        <f t="shared" si="0"/>
        <v>提152</v>
      </c>
      <c r="C64">
        <v>100062</v>
      </c>
      <c r="D64" t="s">
        <v>338</v>
      </c>
      <c r="E64" t="s">
        <v>218</v>
      </c>
      <c r="F64">
        <v>4001</v>
      </c>
      <c r="G64">
        <v>4001</v>
      </c>
      <c r="H64">
        <v>3480.87</v>
      </c>
      <c r="I64">
        <v>580.8</v>
      </c>
      <c r="J64" t="s">
        <v>24</v>
      </c>
      <c r="K64" t="s">
        <v>42</v>
      </c>
      <c r="L64" t="s">
        <v>341</v>
      </c>
      <c r="M64" t="s">
        <v>339</v>
      </c>
      <c r="N64" t="s">
        <v>340</v>
      </c>
      <c r="O64" t="s">
        <v>31</v>
      </c>
    </row>
    <row r="65" spans="1:15">
      <c r="A65" s="6">
        <v>44075</v>
      </c>
      <c r="B65" t="str">
        <f t="shared" si="0"/>
        <v>提153</v>
      </c>
      <c r="C65">
        <v>100063</v>
      </c>
      <c r="D65" t="s">
        <v>342</v>
      </c>
      <c r="E65" t="s">
        <v>162</v>
      </c>
      <c r="F65">
        <v>175</v>
      </c>
      <c r="G65">
        <v>682.5</v>
      </c>
      <c r="H65">
        <v>614.25</v>
      </c>
      <c r="I65">
        <v>43.25</v>
      </c>
      <c r="J65" t="s">
        <v>24</v>
      </c>
      <c r="K65" t="s">
        <v>36</v>
      </c>
      <c r="L65" t="s">
        <v>345</v>
      </c>
      <c r="M65" t="s">
        <v>343</v>
      </c>
      <c r="N65" t="s">
        <v>344</v>
      </c>
      <c r="O65" t="s">
        <v>31</v>
      </c>
    </row>
    <row r="66" spans="1:15">
      <c r="A66" s="6">
        <v>44075</v>
      </c>
      <c r="B66" t="str">
        <f t="shared" si="0"/>
        <v>提153</v>
      </c>
      <c r="C66">
        <v>100063</v>
      </c>
      <c r="D66" t="s">
        <v>342</v>
      </c>
      <c r="E66" t="s">
        <v>199</v>
      </c>
      <c r="F66">
        <v>203</v>
      </c>
      <c r="G66">
        <v>446.6</v>
      </c>
      <c r="H66">
        <v>379.61</v>
      </c>
      <c r="I66">
        <v>18</v>
      </c>
      <c r="J66" t="s">
        <v>24</v>
      </c>
      <c r="K66" t="s">
        <v>36</v>
      </c>
      <c r="L66" t="s">
        <v>345</v>
      </c>
      <c r="M66" t="s">
        <v>343</v>
      </c>
      <c r="N66" t="s">
        <v>344</v>
      </c>
      <c r="O66" t="s">
        <v>31</v>
      </c>
    </row>
    <row r="67" spans="1:15">
      <c r="A67" s="6">
        <v>44075</v>
      </c>
      <c r="B67" t="str">
        <f t="shared" si="0"/>
        <v>提154</v>
      </c>
      <c r="C67">
        <v>100065</v>
      </c>
      <c r="D67" t="s">
        <v>346</v>
      </c>
      <c r="E67" t="s">
        <v>118</v>
      </c>
      <c r="F67">
        <v>1772</v>
      </c>
      <c r="G67">
        <v>4607.2</v>
      </c>
      <c r="H67">
        <v>4054.336</v>
      </c>
      <c r="I67">
        <v>308.46</v>
      </c>
      <c r="J67" t="s">
        <v>24</v>
      </c>
      <c r="K67" t="s">
        <v>28</v>
      </c>
      <c r="L67" t="s">
        <v>349</v>
      </c>
      <c r="M67" t="s">
        <v>347</v>
      </c>
      <c r="N67" t="s">
        <v>348</v>
      </c>
      <c r="O67" t="s">
        <v>30</v>
      </c>
    </row>
    <row r="68" spans="1:15">
      <c r="A68" s="6">
        <v>44075</v>
      </c>
      <c r="B68" t="str">
        <f t="shared" ref="B68:B127" si="1">IF(D68=D67,B67,"提"&amp;RIGHT(B67,3)+1)</f>
        <v>提155</v>
      </c>
      <c r="C68">
        <v>100066</v>
      </c>
      <c r="D68" t="s">
        <v>350</v>
      </c>
      <c r="E68" t="s">
        <v>199</v>
      </c>
      <c r="F68">
        <v>3307</v>
      </c>
      <c r="G68">
        <v>3968.4</v>
      </c>
      <c r="H68">
        <v>3373.14</v>
      </c>
      <c r="I68">
        <v>390.06</v>
      </c>
      <c r="J68" t="s">
        <v>24</v>
      </c>
      <c r="K68" t="s">
        <v>36</v>
      </c>
      <c r="L68" t="s">
        <v>353</v>
      </c>
      <c r="M68" t="s">
        <v>351</v>
      </c>
      <c r="N68" t="s">
        <v>352</v>
      </c>
      <c r="O68" t="s">
        <v>31</v>
      </c>
    </row>
    <row r="69" spans="1:15">
      <c r="A69" s="6">
        <v>44075</v>
      </c>
      <c r="B69" t="str">
        <f t="shared" si="1"/>
        <v>提155</v>
      </c>
      <c r="C69">
        <v>100066</v>
      </c>
      <c r="D69" t="s">
        <v>350</v>
      </c>
      <c r="E69" t="s">
        <v>227</v>
      </c>
      <c r="F69">
        <v>520</v>
      </c>
      <c r="G69">
        <v>416</v>
      </c>
      <c r="H69">
        <v>349.44</v>
      </c>
      <c r="I69">
        <v>75.92</v>
      </c>
      <c r="J69" t="s">
        <v>24</v>
      </c>
      <c r="K69" t="s">
        <v>36</v>
      </c>
      <c r="L69" t="s">
        <v>353</v>
      </c>
      <c r="M69" t="s">
        <v>351</v>
      </c>
      <c r="N69" t="s">
        <v>352</v>
      </c>
      <c r="O69" t="s">
        <v>85</v>
      </c>
    </row>
    <row r="70" spans="1:15">
      <c r="A70" s="6">
        <v>44075</v>
      </c>
      <c r="B70" t="str">
        <f t="shared" si="1"/>
        <v>提156</v>
      </c>
      <c r="C70">
        <v>100068</v>
      </c>
      <c r="D70" t="s">
        <v>354</v>
      </c>
      <c r="E70" t="s">
        <v>118</v>
      </c>
      <c r="F70">
        <v>3738</v>
      </c>
      <c r="G70">
        <v>9345</v>
      </c>
      <c r="H70">
        <v>8223.6</v>
      </c>
      <c r="I70">
        <v>479.46</v>
      </c>
      <c r="J70" t="s">
        <v>24</v>
      </c>
      <c r="K70" t="s">
        <v>36</v>
      </c>
      <c r="L70" t="s">
        <v>357</v>
      </c>
      <c r="M70" t="s">
        <v>355</v>
      </c>
      <c r="N70" t="s">
        <v>356</v>
      </c>
      <c r="O70" t="s">
        <v>55</v>
      </c>
    </row>
    <row r="71" spans="1:15">
      <c r="A71" s="6">
        <v>44075</v>
      </c>
      <c r="B71" t="str">
        <f t="shared" si="1"/>
        <v>提157</v>
      </c>
      <c r="C71">
        <v>100069</v>
      </c>
      <c r="D71" t="s">
        <v>358</v>
      </c>
      <c r="E71" t="s">
        <v>234</v>
      </c>
      <c r="F71">
        <v>4833</v>
      </c>
      <c r="G71">
        <v>9666</v>
      </c>
      <c r="H71">
        <v>8022.78</v>
      </c>
      <c r="I71">
        <v>466.9</v>
      </c>
      <c r="J71" t="s">
        <v>24</v>
      </c>
      <c r="K71" t="s">
        <v>42</v>
      </c>
      <c r="L71" t="s">
        <v>361</v>
      </c>
      <c r="M71" t="s">
        <v>359</v>
      </c>
      <c r="N71" t="s">
        <v>360</v>
      </c>
      <c r="O71" t="s">
        <v>56</v>
      </c>
    </row>
    <row r="72" spans="1:15">
      <c r="A72" s="6">
        <v>44075</v>
      </c>
      <c r="B72" t="str">
        <f t="shared" si="1"/>
        <v>提158</v>
      </c>
      <c r="C72">
        <v>100070</v>
      </c>
      <c r="D72" t="s">
        <v>362</v>
      </c>
      <c r="E72" t="s">
        <v>218</v>
      </c>
      <c r="F72">
        <v>3246</v>
      </c>
      <c r="G72">
        <v>10387.2</v>
      </c>
      <c r="H72">
        <v>8621.376</v>
      </c>
      <c r="I72">
        <v>392.71</v>
      </c>
      <c r="J72" t="s">
        <v>24</v>
      </c>
      <c r="K72" t="s">
        <v>28</v>
      </c>
      <c r="L72" t="s">
        <v>365</v>
      </c>
      <c r="M72" t="s">
        <v>363</v>
      </c>
      <c r="N72" t="s">
        <v>364</v>
      </c>
      <c r="O72" t="s">
        <v>55</v>
      </c>
    </row>
    <row r="73" spans="1:15">
      <c r="A73" s="6">
        <v>44075</v>
      </c>
      <c r="B73" t="str">
        <f t="shared" si="1"/>
        <v>提159</v>
      </c>
      <c r="C73">
        <v>100071</v>
      </c>
      <c r="D73" t="s">
        <v>366</v>
      </c>
      <c r="E73" t="s">
        <v>123</v>
      </c>
      <c r="F73">
        <v>3002</v>
      </c>
      <c r="G73">
        <v>900.6</v>
      </c>
      <c r="H73">
        <v>765.51</v>
      </c>
      <c r="I73">
        <v>886.5</v>
      </c>
      <c r="J73" t="s">
        <v>24</v>
      </c>
      <c r="K73" t="s">
        <v>36</v>
      </c>
      <c r="L73" t="s">
        <v>369</v>
      </c>
      <c r="M73" t="s">
        <v>367</v>
      </c>
      <c r="N73" t="s">
        <v>368</v>
      </c>
      <c r="O73" t="s">
        <v>31</v>
      </c>
    </row>
    <row r="74" spans="1:15">
      <c r="A74" s="6">
        <v>44075</v>
      </c>
      <c r="B74" t="str">
        <f t="shared" si="1"/>
        <v>提160</v>
      </c>
      <c r="C74">
        <v>100072</v>
      </c>
      <c r="D74" t="s">
        <v>370</v>
      </c>
      <c r="E74" t="s">
        <v>274</v>
      </c>
      <c r="F74">
        <v>719</v>
      </c>
      <c r="G74">
        <v>862.8</v>
      </c>
      <c r="H74">
        <v>724.752</v>
      </c>
      <c r="I74">
        <v>90</v>
      </c>
      <c r="J74" t="s">
        <v>24</v>
      </c>
      <c r="K74" t="s">
        <v>42</v>
      </c>
      <c r="L74" t="s">
        <v>373</v>
      </c>
      <c r="M74" t="s">
        <v>371</v>
      </c>
      <c r="N74" t="s">
        <v>372</v>
      </c>
      <c r="O74" t="s">
        <v>56</v>
      </c>
    </row>
    <row r="75" spans="1:15">
      <c r="A75" s="6">
        <v>44075</v>
      </c>
      <c r="B75" t="str">
        <f t="shared" si="1"/>
        <v>提161</v>
      </c>
      <c r="C75">
        <v>100073</v>
      </c>
      <c r="D75" t="s">
        <v>374</v>
      </c>
      <c r="E75" t="s">
        <v>180</v>
      </c>
      <c r="F75">
        <v>4761</v>
      </c>
      <c r="G75">
        <v>9522</v>
      </c>
      <c r="H75">
        <v>7712.82</v>
      </c>
      <c r="I75">
        <v>744.72</v>
      </c>
      <c r="J75" t="s">
        <v>24</v>
      </c>
      <c r="K75" t="s">
        <v>28</v>
      </c>
      <c r="L75" t="s">
        <v>377</v>
      </c>
      <c r="M75" t="s">
        <v>375</v>
      </c>
      <c r="N75" t="s">
        <v>376</v>
      </c>
      <c r="O75" t="s">
        <v>55</v>
      </c>
    </row>
    <row r="76" spans="1:15">
      <c r="A76" s="6">
        <v>44075</v>
      </c>
      <c r="B76" t="str">
        <f t="shared" si="1"/>
        <v>提161</v>
      </c>
      <c r="C76">
        <v>100073</v>
      </c>
      <c r="D76" t="s">
        <v>374</v>
      </c>
      <c r="E76" t="s">
        <v>180</v>
      </c>
      <c r="F76">
        <v>3146</v>
      </c>
      <c r="G76">
        <v>5977.4</v>
      </c>
      <c r="H76">
        <v>5080.79</v>
      </c>
      <c r="I76">
        <v>267.75</v>
      </c>
      <c r="J76" t="s">
        <v>24</v>
      </c>
      <c r="K76" t="s">
        <v>28</v>
      </c>
      <c r="L76" t="s">
        <v>377</v>
      </c>
      <c r="M76" t="s">
        <v>375</v>
      </c>
      <c r="N76" t="s">
        <v>376</v>
      </c>
      <c r="O76" t="s">
        <v>55</v>
      </c>
    </row>
    <row r="77" spans="1:15">
      <c r="A77" s="6">
        <v>44075</v>
      </c>
      <c r="B77" t="str">
        <f t="shared" si="1"/>
        <v>提161</v>
      </c>
      <c r="C77">
        <v>100073</v>
      </c>
      <c r="D77" t="s">
        <v>374</v>
      </c>
      <c r="E77" t="s">
        <v>139</v>
      </c>
      <c r="F77">
        <v>1312</v>
      </c>
      <c r="G77">
        <v>1836.8</v>
      </c>
      <c r="H77">
        <v>1542.912</v>
      </c>
      <c r="I77">
        <v>66.66</v>
      </c>
      <c r="J77" t="s">
        <v>24</v>
      </c>
      <c r="K77" t="s">
        <v>28</v>
      </c>
      <c r="L77" t="s">
        <v>377</v>
      </c>
      <c r="M77" t="s">
        <v>375</v>
      </c>
      <c r="N77" t="s">
        <v>376</v>
      </c>
      <c r="O77" t="s">
        <v>56</v>
      </c>
    </row>
    <row r="78" spans="1:15">
      <c r="A78" s="6">
        <v>44075</v>
      </c>
      <c r="B78" t="str">
        <f t="shared" si="1"/>
        <v>提162</v>
      </c>
      <c r="C78">
        <v>100076</v>
      </c>
      <c r="D78" t="s">
        <v>378</v>
      </c>
      <c r="E78" t="s">
        <v>118</v>
      </c>
      <c r="F78">
        <v>3623</v>
      </c>
      <c r="G78">
        <v>6159.1</v>
      </c>
      <c r="H78">
        <v>5296.826</v>
      </c>
      <c r="I78">
        <v>354.76</v>
      </c>
      <c r="J78" t="s">
        <v>24</v>
      </c>
      <c r="K78" t="s">
        <v>42</v>
      </c>
      <c r="L78" t="s">
        <v>381</v>
      </c>
      <c r="M78" t="s">
        <v>379</v>
      </c>
      <c r="N78" t="s">
        <v>380</v>
      </c>
      <c r="O78" t="s">
        <v>85</v>
      </c>
    </row>
    <row r="79" spans="1:15">
      <c r="A79" s="6">
        <v>44075</v>
      </c>
      <c r="B79" t="str">
        <f t="shared" si="1"/>
        <v>提163</v>
      </c>
      <c r="C79">
        <v>100077</v>
      </c>
      <c r="D79" t="s">
        <v>382</v>
      </c>
      <c r="E79" t="s">
        <v>172</v>
      </c>
      <c r="F79">
        <v>1400</v>
      </c>
      <c r="G79">
        <v>560</v>
      </c>
      <c r="H79">
        <v>464.8</v>
      </c>
      <c r="I79">
        <v>323.4</v>
      </c>
      <c r="J79" t="s">
        <v>24</v>
      </c>
      <c r="K79" t="s">
        <v>42</v>
      </c>
      <c r="L79" t="s">
        <v>385</v>
      </c>
      <c r="M79" t="s">
        <v>383</v>
      </c>
      <c r="N79" t="s">
        <v>384</v>
      </c>
      <c r="O79" t="s">
        <v>30</v>
      </c>
    </row>
    <row r="80" spans="1:15">
      <c r="A80" s="6">
        <v>44075</v>
      </c>
      <c r="B80" t="str">
        <f t="shared" si="1"/>
        <v>提164</v>
      </c>
      <c r="C80">
        <v>100078</v>
      </c>
      <c r="D80" t="s">
        <v>386</v>
      </c>
      <c r="E80" t="s">
        <v>189</v>
      </c>
      <c r="F80">
        <v>797</v>
      </c>
      <c r="G80">
        <v>2550.4</v>
      </c>
      <c r="H80">
        <v>2295.36</v>
      </c>
      <c r="I80">
        <v>136</v>
      </c>
      <c r="J80" t="s">
        <v>24</v>
      </c>
      <c r="K80" t="s">
        <v>42</v>
      </c>
      <c r="L80" t="s">
        <v>389</v>
      </c>
      <c r="M80" t="s">
        <v>387</v>
      </c>
      <c r="N80" t="s">
        <v>388</v>
      </c>
      <c r="O80" t="s">
        <v>31</v>
      </c>
    </row>
    <row r="81" spans="1:15">
      <c r="A81" s="6">
        <v>44075</v>
      </c>
      <c r="B81" t="str">
        <f t="shared" si="1"/>
        <v>提165</v>
      </c>
      <c r="C81">
        <v>100079</v>
      </c>
      <c r="D81" t="s">
        <v>390</v>
      </c>
      <c r="E81" t="s">
        <v>112</v>
      </c>
      <c r="F81">
        <v>4532</v>
      </c>
      <c r="G81">
        <v>906.4</v>
      </c>
      <c r="H81">
        <v>779.504</v>
      </c>
      <c r="I81">
        <v>245.16</v>
      </c>
      <c r="J81" t="s">
        <v>24</v>
      </c>
      <c r="K81" t="s">
        <v>42</v>
      </c>
      <c r="L81" t="s">
        <v>393</v>
      </c>
      <c r="M81" t="s">
        <v>391</v>
      </c>
      <c r="N81" t="s">
        <v>392</v>
      </c>
      <c r="O81" t="s">
        <v>67</v>
      </c>
    </row>
    <row r="82" spans="1:15">
      <c r="A82" s="6">
        <v>44075</v>
      </c>
      <c r="B82" t="str">
        <f t="shared" si="1"/>
        <v>提166</v>
      </c>
      <c r="C82">
        <v>100080</v>
      </c>
      <c r="D82" t="s">
        <v>394</v>
      </c>
      <c r="E82" t="s">
        <v>180</v>
      </c>
      <c r="F82">
        <v>3275</v>
      </c>
      <c r="G82">
        <v>1310</v>
      </c>
      <c r="H82">
        <v>1061.1</v>
      </c>
      <c r="I82">
        <v>626.48</v>
      </c>
      <c r="J82" t="s">
        <v>24</v>
      </c>
      <c r="K82" t="s">
        <v>42</v>
      </c>
      <c r="L82" t="s">
        <v>397</v>
      </c>
      <c r="M82" t="s">
        <v>395</v>
      </c>
      <c r="N82" t="s">
        <v>396</v>
      </c>
      <c r="O82" t="s">
        <v>30</v>
      </c>
    </row>
    <row r="83" spans="1:15">
      <c r="A83" s="6">
        <v>44075</v>
      </c>
      <c r="B83" t="str">
        <f t="shared" si="1"/>
        <v>提167</v>
      </c>
      <c r="C83">
        <v>100081</v>
      </c>
      <c r="D83" t="s">
        <v>398</v>
      </c>
      <c r="E83" t="s">
        <v>218</v>
      </c>
      <c r="F83">
        <v>2101</v>
      </c>
      <c r="G83">
        <v>3781.8</v>
      </c>
      <c r="H83">
        <v>3252.348</v>
      </c>
      <c r="I83">
        <v>247.8</v>
      </c>
      <c r="J83" t="s">
        <v>24</v>
      </c>
      <c r="K83" t="s">
        <v>28</v>
      </c>
      <c r="L83" t="s">
        <v>401</v>
      </c>
      <c r="M83" t="s">
        <v>399</v>
      </c>
      <c r="N83" t="s">
        <v>400</v>
      </c>
      <c r="O83" t="s">
        <v>31</v>
      </c>
    </row>
    <row r="84" spans="1:15">
      <c r="A84" s="6">
        <v>44075</v>
      </c>
      <c r="B84" t="str">
        <f t="shared" si="1"/>
        <v>提168</v>
      </c>
      <c r="C84">
        <v>100082</v>
      </c>
      <c r="D84" t="s">
        <v>402</v>
      </c>
      <c r="E84" t="s">
        <v>232</v>
      </c>
      <c r="F84">
        <v>4816</v>
      </c>
      <c r="G84">
        <v>8187.2</v>
      </c>
      <c r="H84">
        <v>6877.248</v>
      </c>
      <c r="I84">
        <v>623.52</v>
      </c>
      <c r="J84" t="s">
        <v>24</v>
      </c>
      <c r="K84" t="s">
        <v>42</v>
      </c>
      <c r="L84" t="s">
        <v>405</v>
      </c>
      <c r="M84" t="s">
        <v>403</v>
      </c>
      <c r="N84" t="s">
        <v>404</v>
      </c>
      <c r="O84" t="s">
        <v>31</v>
      </c>
    </row>
    <row r="85" spans="1:15">
      <c r="A85" s="6">
        <v>44075</v>
      </c>
      <c r="B85" t="str">
        <f t="shared" si="1"/>
        <v>提169</v>
      </c>
      <c r="C85">
        <v>100083</v>
      </c>
      <c r="D85" t="s">
        <v>406</v>
      </c>
      <c r="E85" t="s">
        <v>218</v>
      </c>
      <c r="F85">
        <v>3788</v>
      </c>
      <c r="G85">
        <v>11742.8</v>
      </c>
      <c r="H85">
        <v>9981.38</v>
      </c>
      <c r="I85">
        <v>283.03</v>
      </c>
      <c r="J85" t="s">
        <v>24</v>
      </c>
      <c r="K85" t="s">
        <v>42</v>
      </c>
      <c r="L85" t="s">
        <v>409</v>
      </c>
      <c r="M85" t="s">
        <v>407</v>
      </c>
      <c r="N85" t="s">
        <v>408</v>
      </c>
      <c r="O85" t="s">
        <v>56</v>
      </c>
    </row>
    <row r="86" spans="1:15">
      <c r="A86" s="6">
        <v>44075</v>
      </c>
      <c r="B86" t="str">
        <f t="shared" si="1"/>
        <v>提170</v>
      </c>
      <c r="C86">
        <v>100084</v>
      </c>
      <c r="D86" t="s">
        <v>410</v>
      </c>
      <c r="E86" t="s">
        <v>139</v>
      </c>
      <c r="F86">
        <v>4974</v>
      </c>
      <c r="G86">
        <v>1989.6</v>
      </c>
      <c r="H86">
        <v>1671.264</v>
      </c>
      <c r="I86">
        <v>1462.16</v>
      </c>
      <c r="J86" t="s">
        <v>24</v>
      </c>
      <c r="K86" t="s">
        <v>36</v>
      </c>
      <c r="L86" t="s">
        <v>413</v>
      </c>
      <c r="M86" t="s">
        <v>411</v>
      </c>
      <c r="N86" t="s">
        <v>412</v>
      </c>
      <c r="O86" t="s">
        <v>85</v>
      </c>
    </row>
    <row r="87" spans="1:15">
      <c r="A87" s="6">
        <v>44075</v>
      </c>
      <c r="B87" t="str">
        <f t="shared" si="1"/>
        <v>提171</v>
      </c>
      <c r="C87">
        <v>100085</v>
      </c>
      <c r="D87" t="s">
        <v>414</v>
      </c>
      <c r="E87" t="s">
        <v>118</v>
      </c>
      <c r="F87">
        <v>3948</v>
      </c>
      <c r="G87">
        <v>15792</v>
      </c>
      <c r="H87">
        <v>14212.8</v>
      </c>
      <c r="I87">
        <v>635.16</v>
      </c>
      <c r="J87" t="s">
        <v>24</v>
      </c>
      <c r="K87" t="s">
        <v>42</v>
      </c>
      <c r="L87" t="s">
        <v>417</v>
      </c>
      <c r="M87" t="s">
        <v>415</v>
      </c>
      <c r="N87" t="s">
        <v>416</v>
      </c>
      <c r="O87" t="s">
        <v>30</v>
      </c>
    </row>
    <row r="88" spans="1:15">
      <c r="A88" s="6">
        <v>44075</v>
      </c>
      <c r="B88" t="str">
        <f t="shared" si="1"/>
        <v>提172</v>
      </c>
      <c r="C88">
        <v>100086</v>
      </c>
      <c r="D88" t="s">
        <v>418</v>
      </c>
      <c r="E88" t="s">
        <v>112</v>
      </c>
      <c r="F88">
        <v>2067</v>
      </c>
      <c r="G88">
        <v>2687.1</v>
      </c>
      <c r="H88">
        <v>2391.519</v>
      </c>
      <c r="I88">
        <v>427.8</v>
      </c>
      <c r="J88" t="s">
        <v>24</v>
      </c>
      <c r="K88" t="s">
        <v>36</v>
      </c>
      <c r="L88" t="s">
        <v>421</v>
      </c>
      <c r="M88" t="s">
        <v>419</v>
      </c>
      <c r="N88" t="s">
        <v>420</v>
      </c>
      <c r="O88" t="s">
        <v>30</v>
      </c>
    </row>
    <row r="89" spans="1:15">
      <c r="A89" s="6">
        <v>44075</v>
      </c>
      <c r="B89" t="str">
        <f t="shared" si="1"/>
        <v>提173</v>
      </c>
      <c r="C89">
        <v>100087</v>
      </c>
      <c r="D89" t="s">
        <v>422</v>
      </c>
      <c r="E89" t="s">
        <v>274</v>
      </c>
      <c r="F89">
        <v>1457</v>
      </c>
      <c r="G89">
        <v>5245.2</v>
      </c>
      <c r="H89">
        <v>4563.324</v>
      </c>
      <c r="I89">
        <v>255.15</v>
      </c>
      <c r="J89" t="s">
        <v>24</v>
      </c>
      <c r="K89" t="s">
        <v>28</v>
      </c>
      <c r="L89" t="s">
        <v>425</v>
      </c>
      <c r="M89" t="s">
        <v>423</v>
      </c>
      <c r="N89" t="s">
        <v>424</v>
      </c>
      <c r="O89" t="s">
        <v>30</v>
      </c>
    </row>
    <row r="90" spans="1:15">
      <c r="A90" s="6">
        <v>44075</v>
      </c>
      <c r="B90" t="str">
        <f t="shared" si="1"/>
        <v>提174</v>
      </c>
      <c r="C90">
        <v>100088</v>
      </c>
      <c r="D90" t="s">
        <v>426</v>
      </c>
      <c r="E90" t="s">
        <v>128</v>
      </c>
      <c r="F90">
        <v>2583</v>
      </c>
      <c r="G90">
        <v>3357.9</v>
      </c>
      <c r="H90">
        <v>2921.373</v>
      </c>
      <c r="I90">
        <v>389.08</v>
      </c>
      <c r="J90" t="s">
        <v>24</v>
      </c>
      <c r="K90" t="s">
        <v>42</v>
      </c>
      <c r="L90" t="s">
        <v>429</v>
      </c>
      <c r="M90" t="s">
        <v>427</v>
      </c>
      <c r="N90" t="s">
        <v>428</v>
      </c>
      <c r="O90" t="s">
        <v>67</v>
      </c>
    </row>
    <row r="91" spans="1:15">
      <c r="A91" s="6">
        <v>44075</v>
      </c>
      <c r="B91" t="str">
        <f t="shared" si="1"/>
        <v>提175</v>
      </c>
      <c r="C91">
        <v>100089</v>
      </c>
      <c r="D91" t="s">
        <v>430</v>
      </c>
      <c r="E91" t="s">
        <v>218</v>
      </c>
      <c r="F91">
        <v>4649</v>
      </c>
      <c r="G91">
        <v>6973.5</v>
      </c>
      <c r="H91">
        <v>5927.475</v>
      </c>
      <c r="I91">
        <v>736.56</v>
      </c>
      <c r="J91" t="s">
        <v>24</v>
      </c>
      <c r="K91" t="s">
        <v>28</v>
      </c>
      <c r="L91" t="s">
        <v>433</v>
      </c>
      <c r="M91" t="s">
        <v>431</v>
      </c>
      <c r="N91" t="s">
        <v>432</v>
      </c>
      <c r="O91" t="s">
        <v>67</v>
      </c>
    </row>
    <row r="92" spans="1:15">
      <c r="A92" s="6">
        <v>44075</v>
      </c>
      <c r="B92" t="str">
        <f t="shared" si="1"/>
        <v>提176</v>
      </c>
      <c r="C92">
        <v>100090</v>
      </c>
      <c r="D92" t="s">
        <v>434</v>
      </c>
      <c r="E92" t="s">
        <v>172</v>
      </c>
      <c r="F92">
        <v>2303</v>
      </c>
      <c r="G92">
        <v>6448.4</v>
      </c>
      <c r="H92">
        <v>5739.076</v>
      </c>
      <c r="I92">
        <v>445.05</v>
      </c>
      <c r="J92" t="s">
        <v>24</v>
      </c>
      <c r="K92" t="s">
        <v>28</v>
      </c>
      <c r="L92" t="s">
        <v>437</v>
      </c>
      <c r="M92" t="s">
        <v>435</v>
      </c>
      <c r="N92" t="s">
        <v>436</v>
      </c>
      <c r="O92" t="s">
        <v>30</v>
      </c>
    </row>
    <row r="93" spans="1:15">
      <c r="A93" s="6">
        <v>44075</v>
      </c>
      <c r="B93" t="str">
        <f t="shared" si="1"/>
        <v>提177</v>
      </c>
      <c r="C93">
        <v>100091</v>
      </c>
      <c r="D93" t="s">
        <v>438</v>
      </c>
      <c r="E93" t="s">
        <v>128</v>
      </c>
      <c r="F93">
        <v>2516</v>
      </c>
      <c r="G93">
        <v>9057.6</v>
      </c>
      <c r="H93">
        <v>7427.232</v>
      </c>
      <c r="I93">
        <v>162.81</v>
      </c>
      <c r="J93" t="s">
        <v>24</v>
      </c>
      <c r="K93" t="s">
        <v>36</v>
      </c>
      <c r="L93" t="s">
        <v>441</v>
      </c>
      <c r="M93" t="s">
        <v>439</v>
      </c>
      <c r="N93" t="s">
        <v>440</v>
      </c>
      <c r="O93" t="s">
        <v>66</v>
      </c>
    </row>
    <row r="94" spans="1:15">
      <c r="A94" s="6">
        <v>44075</v>
      </c>
      <c r="B94" t="str">
        <f t="shared" si="1"/>
        <v>提178</v>
      </c>
      <c r="C94">
        <v>100092</v>
      </c>
      <c r="D94" t="s">
        <v>442</v>
      </c>
      <c r="E94" t="s">
        <v>199</v>
      </c>
      <c r="F94">
        <v>1104</v>
      </c>
      <c r="G94">
        <v>993.6</v>
      </c>
      <c r="H94">
        <v>854.496</v>
      </c>
      <c r="I94">
        <v>169.32</v>
      </c>
      <c r="J94" t="s">
        <v>24</v>
      </c>
      <c r="K94" t="s">
        <v>28</v>
      </c>
      <c r="L94" t="s">
        <v>445</v>
      </c>
      <c r="M94" t="s">
        <v>443</v>
      </c>
      <c r="N94" t="s">
        <v>444</v>
      </c>
      <c r="O94" t="s">
        <v>55</v>
      </c>
    </row>
    <row r="95" spans="1:15">
      <c r="A95" s="6">
        <v>44075</v>
      </c>
      <c r="B95" t="str">
        <f t="shared" si="1"/>
        <v>提179</v>
      </c>
      <c r="C95">
        <v>100093</v>
      </c>
      <c r="D95" t="s">
        <v>446</v>
      </c>
      <c r="E95" t="s">
        <v>232</v>
      </c>
      <c r="F95">
        <v>1677</v>
      </c>
      <c r="G95">
        <v>2850.9</v>
      </c>
      <c r="H95">
        <v>2423.265</v>
      </c>
      <c r="I95">
        <v>208.26</v>
      </c>
      <c r="J95" t="s">
        <v>24</v>
      </c>
      <c r="K95" t="s">
        <v>42</v>
      </c>
      <c r="L95" t="s">
        <v>449</v>
      </c>
      <c r="M95" t="s">
        <v>447</v>
      </c>
      <c r="N95" t="s">
        <v>448</v>
      </c>
      <c r="O95" t="s">
        <v>31</v>
      </c>
    </row>
    <row r="96" spans="1:15">
      <c r="A96" s="6">
        <v>44075</v>
      </c>
      <c r="B96" t="str">
        <f t="shared" si="1"/>
        <v>提179</v>
      </c>
      <c r="C96">
        <v>100093</v>
      </c>
      <c r="D96" t="s">
        <v>446</v>
      </c>
      <c r="E96" t="s">
        <v>274</v>
      </c>
      <c r="F96">
        <v>4027</v>
      </c>
      <c r="G96">
        <v>8054</v>
      </c>
      <c r="H96">
        <v>6604.28</v>
      </c>
      <c r="I96">
        <v>406.56</v>
      </c>
      <c r="J96" t="s">
        <v>24</v>
      </c>
      <c r="K96" t="s">
        <v>42</v>
      </c>
      <c r="L96" t="s">
        <v>449</v>
      </c>
      <c r="M96" t="s">
        <v>447</v>
      </c>
      <c r="N96" t="s">
        <v>448</v>
      </c>
      <c r="O96" t="s">
        <v>56</v>
      </c>
    </row>
    <row r="97" spans="1:15">
      <c r="A97" s="6">
        <v>44075</v>
      </c>
      <c r="B97" t="str">
        <f t="shared" si="1"/>
        <v>提179</v>
      </c>
      <c r="C97">
        <v>100093</v>
      </c>
      <c r="D97" t="s">
        <v>446</v>
      </c>
      <c r="E97" t="s">
        <v>325</v>
      </c>
      <c r="F97">
        <v>3256</v>
      </c>
      <c r="G97">
        <v>5535.2</v>
      </c>
      <c r="H97">
        <v>4704.92</v>
      </c>
      <c r="I97">
        <v>286.4</v>
      </c>
      <c r="J97" t="s">
        <v>24</v>
      </c>
      <c r="K97" t="s">
        <v>42</v>
      </c>
      <c r="L97" t="s">
        <v>449</v>
      </c>
      <c r="M97" t="s">
        <v>447</v>
      </c>
      <c r="N97" t="s">
        <v>448</v>
      </c>
      <c r="O97" t="s">
        <v>30</v>
      </c>
    </row>
    <row r="98" spans="1:15">
      <c r="A98" s="6">
        <v>44075</v>
      </c>
      <c r="B98" t="str">
        <f t="shared" si="1"/>
        <v>提180</v>
      </c>
      <c r="C98">
        <v>100096</v>
      </c>
      <c r="D98" t="s">
        <v>450</v>
      </c>
      <c r="E98" t="s">
        <v>218</v>
      </c>
      <c r="F98">
        <v>757</v>
      </c>
      <c r="G98">
        <v>2649.5</v>
      </c>
      <c r="H98">
        <v>2172.59</v>
      </c>
      <c r="I98">
        <v>74.12</v>
      </c>
      <c r="J98" t="s">
        <v>24</v>
      </c>
      <c r="K98" t="s">
        <v>28</v>
      </c>
      <c r="L98" t="s">
        <v>453</v>
      </c>
      <c r="M98" t="s">
        <v>451</v>
      </c>
      <c r="N98" t="s">
        <v>452</v>
      </c>
      <c r="O98" t="s">
        <v>30</v>
      </c>
    </row>
    <row r="99" spans="1:15">
      <c r="A99" s="6">
        <v>44075</v>
      </c>
      <c r="B99" t="str">
        <f t="shared" si="1"/>
        <v>提181</v>
      </c>
      <c r="C99">
        <v>100097</v>
      </c>
      <c r="D99" t="s">
        <v>454</v>
      </c>
      <c r="E99" t="s">
        <v>204</v>
      </c>
      <c r="F99">
        <v>3979</v>
      </c>
      <c r="G99">
        <v>8355.9</v>
      </c>
      <c r="H99">
        <v>7018.956</v>
      </c>
      <c r="I99">
        <v>656.7</v>
      </c>
      <c r="J99" t="s">
        <v>24</v>
      </c>
      <c r="K99" t="s">
        <v>42</v>
      </c>
      <c r="L99" t="s">
        <v>457</v>
      </c>
      <c r="M99" t="s">
        <v>455</v>
      </c>
      <c r="N99" t="s">
        <v>456</v>
      </c>
      <c r="O99" t="s">
        <v>56</v>
      </c>
    </row>
    <row r="100" spans="1:15">
      <c r="A100" s="6">
        <v>44075</v>
      </c>
      <c r="B100" t="str">
        <f t="shared" si="1"/>
        <v>提182</v>
      </c>
      <c r="C100">
        <v>100098</v>
      </c>
      <c r="D100" t="s">
        <v>458</v>
      </c>
      <c r="E100" t="s">
        <v>189</v>
      </c>
      <c r="F100">
        <v>1733</v>
      </c>
      <c r="G100">
        <v>3466</v>
      </c>
      <c r="H100">
        <v>3050.08</v>
      </c>
      <c r="I100">
        <v>179.08</v>
      </c>
      <c r="J100" t="s">
        <v>24</v>
      </c>
      <c r="K100" t="s">
        <v>42</v>
      </c>
      <c r="L100" t="s">
        <v>461</v>
      </c>
      <c r="M100" t="s">
        <v>459</v>
      </c>
      <c r="N100" t="s">
        <v>460</v>
      </c>
      <c r="O100" t="s">
        <v>31</v>
      </c>
    </row>
    <row r="101" spans="1:15">
      <c r="A101" s="6">
        <v>44075</v>
      </c>
      <c r="B101" t="str">
        <f t="shared" si="1"/>
        <v>提183</v>
      </c>
      <c r="C101">
        <v>100099</v>
      </c>
      <c r="D101" t="s">
        <v>462</v>
      </c>
      <c r="E101" t="s">
        <v>148</v>
      </c>
      <c r="F101">
        <v>1003</v>
      </c>
      <c r="G101">
        <v>802.4</v>
      </c>
      <c r="H101">
        <v>698.088</v>
      </c>
      <c r="I101">
        <v>126</v>
      </c>
      <c r="J101" t="s">
        <v>24</v>
      </c>
      <c r="K101" t="s">
        <v>28</v>
      </c>
      <c r="L101" t="s">
        <v>465</v>
      </c>
      <c r="M101" t="s">
        <v>463</v>
      </c>
      <c r="N101" t="s">
        <v>464</v>
      </c>
      <c r="O101" t="s">
        <v>30</v>
      </c>
    </row>
    <row r="102" spans="1:15">
      <c r="A102" s="6">
        <v>44075</v>
      </c>
      <c r="B102" t="str">
        <f t="shared" si="1"/>
        <v>提184</v>
      </c>
      <c r="C102">
        <v>100100</v>
      </c>
      <c r="D102" t="s">
        <v>466</v>
      </c>
      <c r="E102" t="s">
        <v>135</v>
      </c>
      <c r="F102">
        <v>1202</v>
      </c>
      <c r="G102">
        <v>1803</v>
      </c>
      <c r="H102">
        <v>1496.49</v>
      </c>
      <c r="I102">
        <v>178.2</v>
      </c>
      <c r="J102" t="s">
        <v>24</v>
      </c>
      <c r="K102" t="s">
        <v>42</v>
      </c>
      <c r="L102" t="s">
        <v>469</v>
      </c>
      <c r="M102" t="s">
        <v>467</v>
      </c>
      <c r="N102" t="s">
        <v>468</v>
      </c>
      <c r="O102" t="s">
        <v>30</v>
      </c>
    </row>
    <row r="103" spans="1:15">
      <c r="A103" s="6">
        <v>44075</v>
      </c>
      <c r="B103" t="str">
        <f t="shared" si="1"/>
        <v>提185</v>
      </c>
      <c r="C103">
        <v>100101</v>
      </c>
      <c r="D103" t="s">
        <v>470</v>
      </c>
      <c r="E103" t="s">
        <v>135</v>
      </c>
      <c r="F103">
        <v>2506</v>
      </c>
      <c r="G103">
        <v>9272.2</v>
      </c>
      <c r="H103">
        <v>7510.482</v>
      </c>
      <c r="I103">
        <v>319.06</v>
      </c>
      <c r="J103" t="s">
        <v>24</v>
      </c>
      <c r="K103" t="s">
        <v>42</v>
      </c>
      <c r="L103" t="s">
        <v>473</v>
      </c>
      <c r="M103" t="s">
        <v>471</v>
      </c>
      <c r="N103" t="s">
        <v>472</v>
      </c>
      <c r="O103" t="s">
        <v>30</v>
      </c>
    </row>
    <row r="104" spans="1:15">
      <c r="A104" s="6">
        <v>44075</v>
      </c>
      <c r="B104" t="str">
        <f t="shared" si="1"/>
        <v>提186</v>
      </c>
      <c r="C104">
        <v>100102</v>
      </c>
      <c r="D104" t="s">
        <v>474</v>
      </c>
      <c r="E104" t="s">
        <v>134</v>
      </c>
      <c r="F104">
        <v>1624</v>
      </c>
      <c r="G104">
        <v>5684</v>
      </c>
      <c r="H104">
        <v>5058.76</v>
      </c>
      <c r="I104">
        <v>101.25</v>
      </c>
      <c r="J104" t="s">
        <v>24</v>
      </c>
      <c r="K104" t="s">
        <v>36</v>
      </c>
      <c r="L104" t="s">
        <v>477</v>
      </c>
      <c r="M104" t="s">
        <v>475</v>
      </c>
      <c r="N104" t="s">
        <v>476</v>
      </c>
      <c r="O104" t="s">
        <v>85</v>
      </c>
    </row>
    <row r="105" spans="1:15">
      <c r="A105" s="6">
        <v>44075</v>
      </c>
      <c r="B105" t="str">
        <f t="shared" si="1"/>
        <v>提187</v>
      </c>
      <c r="C105">
        <v>100103</v>
      </c>
      <c r="D105" t="s">
        <v>478</v>
      </c>
      <c r="E105" t="s">
        <v>227</v>
      </c>
      <c r="F105">
        <v>4371</v>
      </c>
      <c r="G105">
        <v>4371</v>
      </c>
      <c r="H105">
        <v>3540.51</v>
      </c>
      <c r="I105">
        <v>1036.48</v>
      </c>
      <c r="J105" t="s">
        <v>24</v>
      </c>
      <c r="K105" t="s">
        <v>28</v>
      </c>
      <c r="L105" t="s">
        <v>481</v>
      </c>
      <c r="M105" t="s">
        <v>479</v>
      </c>
      <c r="N105" t="s">
        <v>480</v>
      </c>
      <c r="O105" t="s">
        <v>85</v>
      </c>
    </row>
    <row r="106" spans="1:15">
      <c r="A106" s="6">
        <v>44075</v>
      </c>
      <c r="B106" t="str">
        <f t="shared" si="1"/>
        <v>提188</v>
      </c>
      <c r="C106">
        <v>100104</v>
      </c>
      <c r="D106" t="s">
        <v>482</v>
      </c>
      <c r="E106" t="s">
        <v>274</v>
      </c>
      <c r="F106">
        <v>3848</v>
      </c>
      <c r="G106">
        <v>3848</v>
      </c>
      <c r="H106">
        <v>3232.32</v>
      </c>
      <c r="I106">
        <v>335.62</v>
      </c>
      <c r="J106" t="s">
        <v>24</v>
      </c>
      <c r="K106" t="s">
        <v>36</v>
      </c>
      <c r="L106" t="s">
        <v>485</v>
      </c>
      <c r="M106" t="s">
        <v>483</v>
      </c>
      <c r="N106" t="s">
        <v>484</v>
      </c>
      <c r="O106" t="s">
        <v>56</v>
      </c>
    </row>
    <row r="107" spans="1:15">
      <c r="A107" s="6">
        <v>44075</v>
      </c>
      <c r="B107" t="str">
        <f t="shared" si="1"/>
        <v>提189</v>
      </c>
      <c r="C107">
        <v>100105</v>
      </c>
      <c r="D107" t="s">
        <v>486</v>
      </c>
      <c r="E107" t="s">
        <v>234</v>
      </c>
      <c r="F107">
        <v>2530</v>
      </c>
      <c r="G107">
        <v>8602</v>
      </c>
      <c r="H107">
        <v>7053.64</v>
      </c>
      <c r="I107">
        <v>311.6</v>
      </c>
      <c r="J107" t="s">
        <v>24</v>
      </c>
      <c r="K107" t="s">
        <v>36</v>
      </c>
      <c r="L107" t="s">
        <v>489</v>
      </c>
      <c r="M107" t="s">
        <v>487</v>
      </c>
      <c r="N107" t="s">
        <v>488</v>
      </c>
      <c r="O107" t="s">
        <v>30</v>
      </c>
    </row>
    <row r="108" spans="1:15">
      <c r="A108" s="6">
        <v>44075</v>
      </c>
      <c r="B108" t="str">
        <f t="shared" si="1"/>
        <v>提190</v>
      </c>
      <c r="C108">
        <v>100106</v>
      </c>
      <c r="D108" t="s">
        <v>490</v>
      </c>
      <c r="E108" t="s">
        <v>148</v>
      </c>
      <c r="F108">
        <v>1937</v>
      </c>
      <c r="G108">
        <v>2518.1</v>
      </c>
      <c r="H108">
        <v>2165.566</v>
      </c>
      <c r="I108">
        <v>334.65</v>
      </c>
      <c r="J108" t="s">
        <v>24</v>
      </c>
      <c r="K108" t="s">
        <v>42</v>
      </c>
      <c r="L108" t="s">
        <v>493</v>
      </c>
      <c r="M108" t="s">
        <v>491</v>
      </c>
      <c r="N108" t="s">
        <v>492</v>
      </c>
      <c r="O108" t="s">
        <v>85</v>
      </c>
    </row>
    <row r="109" spans="1:15">
      <c r="A109" s="6">
        <v>44075</v>
      </c>
      <c r="B109" t="str">
        <f t="shared" si="1"/>
        <v>提191</v>
      </c>
      <c r="C109">
        <v>100107</v>
      </c>
      <c r="D109" t="s">
        <v>494</v>
      </c>
      <c r="E109" t="s">
        <v>497</v>
      </c>
      <c r="F109">
        <v>4647</v>
      </c>
      <c r="G109">
        <v>3717.6</v>
      </c>
      <c r="H109">
        <v>3345.84</v>
      </c>
      <c r="I109">
        <v>463.14</v>
      </c>
      <c r="J109" t="s">
        <v>24</v>
      </c>
      <c r="K109" t="s">
        <v>28</v>
      </c>
      <c r="L109" t="s">
        <v>498</v>
      </c>
      <c r="M109" t="s">
        <v>495</v>
      </c>
      <c r="N109" t="s">
        <v>496</v>
      </c>
      <c r="O109" t="s">
        <v>66</v>
      </c>
    </row>
    <row r="110" spans="1:15">
      <c r="A110" s="6">
        <v>44075</v>
      </c>
      <c r="B110" t="str">
        <f t="shared" si="1"/>
        <v>提191</v>
      </c>
      <c r="C110">
        <v>100107</v>
      </c>
      <c r="D110" t="s">
        <v>494</v>
      </c>
      <c r="E110" t="s">
        <v>134</v>
      </c>
      <c r="F110">
        <v>2517</v>
      </c>
      <c r="G110">
        <v>5789.1</v>
      </c>
      <c r="H110">
        <v>4689.171</v>
      </c>
      <c r="I110">
        <v>241.12</v>
      </c>
      <c r="J110" t="s">
        <v>24</v>
      </c>
      <c r="K110" t="s">
        <v>28</v>
      </c>
      <c r="L110" t="s">
        <v>498</v>
      </c>
      <c r="M110" t="s">
        <v>495</v>
      </c>
      <c r="N110" t="s">
        <v>496</v>
      </c>
      <c r="O110" t="s">
        <v>55</v>
      </c>
    </row>
    <row r="111" spans="1:15">
      <c r="A111" s="6">
        <v>44075</v>
      </c>
      <c r="B111" t="str">
        <f t="shared" si="1"/>
        <v>提192</v>
      </c>
      <c r="C111">
        <v>100109</v>
      </c>
      <c r="D111" t="s">
        <v>499</v>
      </c>
      <c r="E111" t="s">
        <v>114</v>
      </c>
      <c r="F111">
        <v>4974</v>
      </c>
      <c r="G111">
        <v>2487</v>
      </c>
      <c r="H111">
        <v>2238.3</v>
      </c>
      <c r="I111">
        <v>871.62</v>
      </c>
      <c r="J111" t="s">
        <v>24</v>
      </c>
      <c r="K111" t="s">
        <v>42</v>
      </c>
      <c r="L111" t="s">
        <v>502</v>
      </c>
      <c r="M111" t="s">
        <v>500</v>
      </c>
      <c r="N111" t="s">
        <v>501</v>
      </c>
      <c r="O111" t="s">
        <v>30</v>
      </c>
    </row>
    <row r="112" spans="1:15">
      <c r="A112" s="6">
        <v>44075</v>
      </c>
      <c r="B112" t="str">
        <f t="shared" si="1"/>
        <v>提193</v>
      </c>
      <c r="C112">
        <v>100110</v>
      </c>
      <c r="D112" t="s">
        <v>503</v>
      </c>
      <c r="E112" t="s">
        <v>204</v>
      </c>
      <c r="F112">
        <v>561</v>
      </c>
      <c r="G112">
        <v>224.4</v>
      </c>
      <c r="H112">
        <v>188.496</v>
      </c>
      <c r="I112">
        <v>24.64</v>
      </c>
      <c r="J112" t="s">
        <v>24</v>
      </c>
      <c r="K112" t="s">
        <v>28</v>
      </c>
      <c r="L112" t="s">
        <v>506</v>
      </c>
      <c r="M112" t="s">
        <v>504</v>
      </c>
      <c r="N112" t="s">
        <v>505</v>
      </c>
      <c r="O112" t="s">
        <v>84</v>
      </c>
    </row>
    <row r="113" spans="1:15">
      <c r="A113" s="6">
        <v>44075</v>
      </c>
      <c r="B113" t="str">
        <f t="shared" si="1"/>
        <v>提194</v>
      </c>
      <c r="C113">
        <v>100111</v>
      </c>
      <c r="D113" t="s">
        <v>507</v>
      </c>
      <c r="E113" t="s">
        <v>134</v>
      </c>
      <c r="F113">
        <v>4928</v>
      </c>
      <c r="G113">
        <v>5913.6</v>
      </c>
      <c r="H113">
        <v>5085.696</v>
      </c>
      <c r="I113">
        <v>1173</v>
      </c>
      <c r="J113" t="s">
        <v>24</v>
      </c>
      <c r="K113" t="s">
        <v>28</v>
      </c>
      <c r="L113" t="s">
        <v>510</v>
      </c>
      <c r="M113" t="s">
        <v>508</v>
      </c>
      <c r="N113" t="s">
        <v>509</v>
      </c>
      <c r="O113" t="s">
        <v>30</v>
      </c>
    </row>
    <row r="114" spans="1:15">
      <c r="A114" s="6">
        <v>44075</v>
      </c>
      <c r="B114" t="str">
        <f t="shared" si="1"/>
        <v>提195</v>
      </c>
      <c r="C114">
        <v>100112</v>
      </c>
      <c r="D114" t="s">
        <v>511</v>
      </c>
      <c r="E114" t="s">
        <v>194</v>
      </c>
      <c r="F114">
        <v>600</v>
      </c>
      <c r="G114">
        <v>780</v>
      </c>
      <c r="H114">
        <v>631.8</v>
      </c>
      <c r="I114">
        <v>74.88</v>
      </c>
      <c r="J114" t="s">
        <v>24</v>
      </c>
      <c r="K114" t="s">
        <v>36</v>
      </c>
      <c r="L114" t="s">
        <v>514</v>
      </c>
      <c r="M114" t="s">
        <v>512</v>
      </c>
      <c r="N114" t="s">
        <v>513</v>
      </c>
      <c r="O114" t="s">
        <v>56</v>
      </c>
    </row>
    <row r="115" spans="1:15">
      <c r="A115" s="6">
        <v>44075</v>
      </c>
      <c r="B115" t="str">
        <f t="shared" si="1"/>
        <v>提196</v>
      </c>
      <c r="C115">
        <v>100113</v>
      </c>
      <c r="D115" t="s">
        <v>515</v>
      </c>
      <c r="E115" t="s">
        <v>234</v>
      </c>
      <c r="F115">
        <v>4051</v>
      </c>
      <c r="G115">
        <v>7696.9</v>
      </c>
      <c r="H115">
        <v>6388.427</v>
      </c>
      <c r="I115">
        <v>306.18</v>
      </c>
      <c r="J115" t="s">
        <v>24</v>
      </c>
      <c r="K115" t="s">
        <v>28</v>
      </c>
      <c r="L115" t="s">
        <v>518</v>
      </c>
      <c r="M115" t="s">
        <v>516</v>
      </c>
      <c r="N115" t="s">
        <v>517</v>
      </c>
      <c r="O115" t="s">
        <v>30</v>
      </c>
    </row>
    <row r="116" spans="1:15">
      <c r="A116" s="6">
        <v>44075</v>
      </c>
      <c r="B116" t="str">
        <f t="shared" si="1"/>
        <v>提197</v>
      </c>
      <c r="C116">
        <v>100114</v>
      </c>
      <c r="D116" t="s">
        <v>519</v>
      </c>
      <c r="E116" t="s">
        <v>232</v>
      </c>
      <c r="F116">
        <v>4446</v>
      </c>
      <c r="G116">
        <v>2667.6</v>
      </c>
      <c r="H116">
        <v>2294.136</v>
      </c>
      <c r="I116">
        <v>372</v>
      </c>
      <c r="J116" t="s">
        <v>24</v>
      </c>
      <c r="K116" t="s">
        <v>36</v>
      </c>
      <c r="L116" t="s">
        <v>522</v>
      </c>
      <c r="M116" t="s">
        <v>520</v>
      </c>
      <c r="N116" t="s">
        <v>521</v>
      </c>
      <c r="O116" t="s">
        <v>55</v>
      </c>
    </row>
    <row r="117" spans="1:15">
      <c r="A117" s="6">
        <v>44075</v>
      </c>
      <c r="B117" t="str">
        <f t="shared" si="1"/>
        <v>提198</v>
      </c>
      <c r="C117">
        <v>100115</v>
      </c>
      <c r="D117" t="s">
        <v>523</v>
      </c>
      <c r="E117" t="s">
        <v>118</v>
      </c>
      <c r="F117">
        <v>2608</v>
      </c>
      <c r="G117">
        <v>6259.2</v>
      </c>
      <c r="H117">
        <v>5320.32</v>
      </c>
      <c r="I117">
        <v>459.36</v>
      </c>
      <c r="J117" t="s">
        <v>24</v>
      </c>
      <c r="K117" t="s">
        <v>36</v>
      </c>
      <c r="L117" t="s">
        <v>526</v>
      </c>
      <c r="M117" t="s">
        <v>524</v>
      </c>
      <c r="N117" t="s">
        <v>525</v>
      </c>
      <c r="O117" t="s">
        <v>31</v>
      </c>
    </row>
    <row r="118" spans="1:15">
      <c r="A118" s="6">
        <v>44075</v>
      </c>
      <c r="B118" t="str">
        <f t="shared" si="1"/>
        <v>提199</v>
      </c>
      <c r="C118">
        <v>100116</v>
      </c>
      <c r="D118" t="s">
        <v>527</v>
      </c>
      <c r="E118" t="s">
        <v>199</v>
      </c>
      <c r="F118">
        <v>4275</v>
      </c>
      <c r="G118">
        <v>14107.5</v>
      </c>
      <c r="H118">
        <v>11709.225</v>
      </c>
      <c r="I118">
        <v>250.38</v>
      </c>
      <c r="J118" t="s">
        <v>24</v>
      </c>
      <c r="K118" t="s">
        <v>28</v>
      </c>
      <c r="L118" t="s">
        <v>530</v>
      </c>
      <c r="M118" t="s">
        <v>528</v>
      </c>
      <c r="N118" t="s">
        <v>529</v>
      </c>
      <c r="O118" t="s">
        <v>55</v>
      </c>
    </row>
    <row r="119" spans="1:15">
      <c r="A119" s="6">
        <v>44075</v>
      </c>
      <c r="B119" t="str">
        <f t="shared" si="1"/>
        <v>提199</v>
      </c>
      <c r="C119">
        <v>100116</v>
      </c>
      <c r="D119" t="s">
        <v>527</v>
      </c>
      <c r="E119" t="s">
        <v>135</v>
      </c>
      <c r="F119">
        <v>2559</v>
      </c>
      <c r="G119">
        <v>3582.6</v>
      </c>
      <c r="H119">
        <v>2901.906</v>
      </c>
      <c r="I119">
        <v>148.57</v>
      </c>
      <c r="J119" t="s">
        <v>24</v>
      </c>
      <c r="K119" t="s">
        <v>28</v>
      </c>
      <c r="L119" t="s">
        <v>530</v>
      </c>
      <c r="M119" t="s">
        <v>528</v>
      </c>
      <c r="N119" t="s">
        <v>529</v>
      </c>
      <c r="O119" t="s">
        <v>55</v>
      </c>
    </row>
    <row r="120" spans="1:15">
      <c r="A120" s="6">
        <v>44075</v>
      </c>
      <c r="B120" t="str">
        <f t="shared" si="1"/>
        <v>提200</v>
      </c>
      <c r="C120">
        <v>100118</v>
      </c>
      <c r="D120" t="s">
        <v>531</v>
      </c>
      <c r="E120" t="s">
        <v>172</v>
      </c>
      <c r="F120">
        <v>726</v>
      </c>
      <c r="G120">
        <v>2904</v>
      </c>
      <c r="H120">
        <v>2468.4</v>
      </c>
      <c r="I120">
        <v>129.63</v>
      </c>
      <c r="J120" t="s">
        <v>24</v>
      </c>
      <c r="K120" t="s">
        <v>28</v>
      </c>
      <c r="L120" t="s">
        <v>534</v>
      </c>
      <c r="M120" t="s">
        <v>532</v>
      </c>
      <c r="N120" t="s">
        <v>533</v>
      </c>
      <c r="O120" t="s">
        <v>30</v>
      </c>
    </row>
    <row r="121" spans="1:15">
      <c r="A121" s="6">
        <v>44075</v>
      </c>
      <c r="B121" t="str">
        <f t="shared" si="1"/>
        <v>提201</v>
      </c>
      <c r="C121">
        <v>100119</v>
      </c>
      <c r="D121" t="s">
        <v>535</v>
      </c>
      <c r="E121" t="s">
        <v>112</v>
      </c>
      <c r="F121">
        <v>2055</v>
      </c>
      <c r="G121">
        <v>4932</v>
      </c>
      <c r="H121">
        <v>4290.84</v>
      </c>
      <c r="I121">
        <v>188.6</v>
      </c>
      <c r="J121" t="s">
        <v>24</v>
      </c>
      <c r="K121" t="s">
        <v>36</v>
      </c>
      <c r="L121" t="s">
        <v>538</v>
      </c>
      <c r="M121" t="s">
        <v>536</v>
      </c>
      <c r="N121" t="s">
        <v>537</v>
      </c>
      <c r="O121" t="s">
        <v>85</v>
      </c>
    </row>
    <row r="122" spans="1:15">
      <c r="A122" s="6">
        <v>44075</v>
      </c>
      <c r="B122" t="str">
        <f t="shared" si="1"/>
        <v>提202</v>
      </c>
      <c r="C122">
        <v>100120</v>
      </c>
      <c r="D122" t="s">
        <v>539</v>
      </c>
      <c r="E122" t="s">
        <v>153</v>
      </c>
      <c r="F122">
        <v>2874</v>
      </c>
      <c r="G122">
        <v>4885.8</v>
      </c>
      <c r="H122">
        <v>4299.504</v>
      </c>
      <c r="I122">
        <v>322.32</v>
      </c>
      <c r="J122" t="s">
        <v>24</v>
      </c>
      <c r="K122" t="s">
        <v>28</v>
      </c>
      <c r="L122" t="s">
        <v>542</v>
      </c>
      <c r="M122" t="s">
        <v>540</v>
      </c>
      <c r="N122" t="s">
        <v>541</v>
      </c>
      <c r="O122" t="s">
        <v>55</v>
      </c>
    </row>
    <row r="123" spans="1:15">
      <c r="A123" s="6">
        <v>44075</v>
      </c>
      <c r="B123" t="str">
        <f t="shared" si="1"/>
        <v>提203</v>
      </c>
      <c r="C123">
        <v>100121</v>
      </c>
      <c r="D123" t="s">
        <v>543</v>
      </c>
      <c r="E123" t="s">
        <v>315</v>
      </c>
      <c r="F123">
        <v>2255</v>
      </c>
      <c r="G123">
        <v>8794.5</v>
      </c>
      <c r="H123">
        <v>7387.38</v>
      </c>
      <c r="I123">
        <v>205.4</v>
      </c>
      <c r="J123" t="s">
        <v>24</v>
      </c>
      <c r="K123" t="s">
        <v>28</v>
      </c>
      <c r="L123" t="s">
        <v>546</v>
      </c>
      <c r="M123" t="s">
        <v>544</v>
      </c>
      <c r="N123" t="s">
        <v>545</v>
      </c>
      <c r="O123" t="s">
        <v>84</v>
      </c>
    </row>
    <row r="124" spans="1:15">
      <c r="A124" s="6">
        <v>44075</v>
      </c>
      <c r="B124" t="str">
        <f t="shared" si="1"/>
        <v>提204</v>
      </c>
      <c r="C124">
        <v>100122</v>
      </c>
      <c r="D124" t="s">
        <v>547</v>
      </c>
      <c r="E124" t="s">
        <v>112</v>
      </c>
      <c r="F124">
        <v>3863</v>
      </c>
      <c r="G124">
        <v>9657.5</v>
      </c>
      <c r="H124">
        <v>8402.025</v>
      </c>
      <c r="I124">
        <v>281.19</v>
      </c>
      <c r="J124" t="s">
        <v>24</v>
      </c>
      <c r="K124" t="s">
        <v>42</v>
      </c>
      <c r="L124" t="s">
        <v>550</v>
      </c>
      <c r="M124" t="s">
        <v>548</v>
      </c>
      <c r="N124" t="s">
        <v>549</v>
      </c>
      <c r="O124" t="s">
        <v>85</v>
      </c>
    </row>
    <row r="125" spans="1:15">
      <c r="A125" s="6">
        <v>44075</v>
      </c>
      <c r="B125" t="str">
        <f t="shared" si="1"/>
        <v>提205</v>
      </c>
      <c r="C125">
        <v>100123</v>
      </c>
      <c r="D125" t="s">
        <v>551</v>
      </c>
      <c r="E125" t="s">
        <v>172</v>
      </c>
      <c r="F125">
        <v>3116</v>
      </c>
      <c r="G125">
        <v>11217.6</v>
      </c>
      <c r="H125">
        <v>9422.784</v>
      </c>
      <c r="I125">
        <v>336.6</v>
      </c>
      <c r="J125" t="s">
        <v>24</v>
      </c>
      <c r="K125" t="s">
        <v>28</v>
      </c>
      <c r="L125" t="s">
        <v>554</v>
      </c>
      <c r="M125" t="s">
        <v>552</v>
      </c>
      <c r="N125" t="s">
        <v>553</v>
      </c>
      <c r="O125" t="s">
        <v>85</v>
      </c>
    </row>
    <row r="126" spans="1:15">
      <c r="A126" s="6">
        <v>44075</v>
      </c>
      <c r="B126" t="str">
        <f t="shared" si="1"/>
        <v>提206</v>
      </c>
      <c r="C126">
        <v>100124</v>
      </c>
      <c r="D126" t="s">
        <v>555</v>
      </c>
      <c r="E126" t="s">
        <v>139</v>
      </c>
      <c r="F126">
        <v>3053</v>
      </c>
      <c r="G126">
        <v>3053</v>
      </c>
      <c r="H126">
        <v>2717.17</v>
      </c>
      <c r="I126">
        <v>435.1</v>
      </c>
      <c r="J126" t="s">
        <v>24</v>
      </c>
      <c r="K126" t="s">
        <v>36</v>
      </c>
      <c r="L126" t="s">
        <v>558</v>
      </c>
      <c r="M126" t="s">
        <v>556</v>
      </c>
      <c r="N126" t="s">
        <v>557</v>
      </c>
      <c r="O126" t="s">
        <v>67</v>
      </c>
    </row>
    <row r="127" spans="1:15">
      <c r="A127" s="6">
        <v>44075</v>
      </c>
      <c r="B127" t="str">
        <f t="shared" si="1"/>
        <v>提207</v>
      </c>
      <c r="C127">
        <v>100125</v>
      </c>
      <c r="D127" t="s">
        <v>559</v>
      </c>
      <c r="E127" t="s">
        <v>114</v>
      </c>
      <c r="F127">
        <v>4562</v>
      </c>
      <c r="G127">
        <v>13686</v>
      </c>
      <c r="H127">
        <v>12043.68</v>
      </c>
      <c r="I127">
        <v>328.8</v>
      </c>
      <c r="J127" t="s">
        <v>24</v>
      </c>
      <c r="K127" t="s">
        <v>28</v>
      </c>
      <c r="L127" t="s">
        <v>562</v>
      </c>
      <c r="M127" t="s">
        <v>560</v>
      </c>
      <c r="N127" t="s">
        <v>561</v>
      </c>
      <c r="O127" t="s">
        <v>31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7"/>
  <sheetViews>
    <sheetView workbookViewId="0">
      <selection activeCell="F1" sqref="F1"/>
    </sheetView>
  </sheetViews>
  <sheetFormatPr defaultColWidth="9" defaultRowHeight="13.8"/>
  <cols>
    <col min="1" max="1" width="5.25" customWidth="1"/>
    <col min="2" max="2" width="10" customWidth="1"/>
    <col min="3" max="3" width="12.25" customWidth="1"/>
    <col min="5" max="5" width="13" customWidth="1"/>
    <col min="7" max="7" width="13" customWidth="1"/>
    <col min="8" max="8" width="5.5" customWidth="1"/>
    <col min="10" max="11" width="13" customWidth="1"/>
    <col min="12" max="12" width="8.25" customWidth="1"/>
    <col min="14" max="15" width="5.5" customWidth="1"/>
    <col min="16" max="16" width="9.5" customWidth="1"/>
  </cols>
  <sheetData>
    <row r="1" spans="1:16">
      <c r="A1" t="s">
        <v>579</v>
      </c>
      <c r="B1" t="s">
        <v>580</v>
      </c>
      <c r="C1" t="s">
        <v>581</v>
      </c>
      <c r="D1" t="s">
        <v>17</v>
      </c>
      <c r="E1" t="s">
        <v>18</v>
      </c>
      <c r="F1" t="s">
        <v>574</v>
      </c>
      <c r="G1" t="s">
        <v>563</v>
      </c>
      <c r="H1" t="s">
        <v>12</v>
      </c>
      <c r="I1" t="s">
        <v>582</v>
      </c>
      <c r="J1" t="s">
        <v>569</v>
      </c>
      <c r="K1" t="s">
        <v>570</v>
      </c>
      <c r="L1" t="s">
        <v>2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55</v>
      </c>
      <c r="B2" s="6">
        <v>44084</v>
      </c>
      <c r="C2" t="s">
        <v>21</v>
      </c>
      <c r="D2" t="s">
        <v>42</v>
      </c>
      <c r="E2" t="s">
        <v>113</v>
      </c>
      <c r="F2" t="s">
        <v>578</v>
      </c>
      <c r="G2" t="s">
        <v>90</v>
      </c>
      <c r="H2">
        <v>1309</v>
      </c>
      <c r="J2">
        <v>392.7</v>
      </c>
      <c r="K2">
        <v>314.16</v>
      </c>
      <c r="L2" t="s">
        <v>20</v>
      </c>
      <c r="M2" t="s">
        <v>112</v>
      </c>
      <c r="N2">
        <v>1309</v>
      </c>
      <c r="O2">
        <v>13.2</v>
      </c>
      <c r="P2">
        <v>16100.7</v>
      </c>
    </row>
    <row r="3" spans="1:16">
      <c r="A3" t="s">
        <v>30</v>
      </c>
      <c r="B3" s="6">
        <v>44084</v>
      </c>
      <c r="C3" t="s">
        <v>21</v>
      </c>
      <c r="D3" t="s">
        <v>42</v>
      </c>
      <c r="E3" t="s">
        <v>113</v>
      </c>
      <c r="F3" t="s">
        <v>578</v>
      </c>
      <c r="G3" t="s">
        <v>90</v>
      </c>
      <c r="H3">
        <v>3545</v>
      </c>
      <c r="J3">
        <v>2481.5</v>
      </c>
      <c r="K3">
        <v>2158.905</v>
      </c>
      <c r="L3" t="s">
        <v>20</v>
      </c>
      <c r="M3" t="s">
        <v>114</v>
      </c>
      <c r="N3">
        <v>3545</v>
      </c>
      <c r="O3">
        <v>23.6</v>
      </c>
      <c r="P3">
        <v>83662</v>
      </c>
    </row>
    <row r="4" spans="1:16">
      <c r="A4" t="s">
        <v>31</v>
      </c>
      <c r="B4" s="6">
        <v>44084</v>
      </c>
      <c r="C4" t="s">
        <v>116</v>
      </c>
      <c r="D4" t="s">
        <v>36</v>
      </c>
      <c r="E4" t="s">
        <v>119</v>
      </c>
      <c r="F4" t="s">
        <v>583</v>
      </c>
      <c r="G4" t="s">
        <v>75</v>
      </c>
      <c r="H4">
        <v>1544</v>
      </c>
      <c r="J4">
        <v>154.4</v>
      </c>
      <c r="K4">
        <v>131.24</v>
      </c>
      <c r="L4" t="s">
        <v>115</v>
      </c>
      <c r="M4" t="s">
        <v>118</v>
      </c>
      <c r="N4">
        <v>1544</v>
      </c>
      <c r="O4">
        <v>27.2</v>
      </c>
      <c r="P4">
        <v>41996.8</v>
      </c>
    </row>
    <row r="5" spans="1:16">
      <c r="A5" t="s">
        <v>30</v>
      </c>
      <c r="B5" s="6">
        <v>44084</v>
      </c>
      <c r="C5" t="s">
        <v>121</v>
      </c>
      <c r="D5" t="s">
        <v>28</v>
      </c>
      <c r="E5" t="s">
        <v>124</v>
      </c>
      <c r="F5" t="s">
        <v>584</v>
      </c>
      <c r="G5" t="s">
        <v>35</v>
      </c>
      <c r="H5">
        <v>3389</v>
      </c>
      <c r="J5">
        <v>4066.8</v>
      </c>
      <c r="K5">
        <v>3253.44</v>
      </c>
      <c r="L5" t="s">
        <v>120</v>
      </c>
      <c r="M5" t="s">
        <v>123</v>
      </c>
      <c r="N5">
        <v>3389</v>
      </c>
      <c r="O5">
        <v>71.7</v>
      </c>
      <c r="P5">
        <v>242991.3</v>
      </c>
    </row>
    <row r="6" spans="1:16">
      <c r="A6" t="s">
        <v>31</v>
      </c>
      <c r="B6" s="6">
        <v>44084</v>
      </c>
      <c r="C6" t="s">
        <v>126</v>
      </c>
      <c r="D6" t="s">
        <v>42</v>
      </c>
      <c r="E6" t="s">
        <v>129</v>
      </c>
      <c r="F6" t="s">
        <v>585</v>
      </c>
      <c r="G6" t="s">
        <v>58</v>
      </c>
      <c r="H6">
        <v>2457</v>
      </c>
      <c r="J6">
        <v>7125.3</v>
      </c>
      <c r="K6">
        <v>6127.758</v>
      </c>
      <c r="L6" t="s">
        <v>125</v>
      </c>
      <c r="M6" t="s">
        <v>128</v>
      </c>
      <c r="N6">
        <v>2457</v>
      </c>
      <c r="O6">
        <v>54.6</v>
      </c>
      <c r="P6">
        <v>134152.2</v>
      </c>
    </row>
    <row r="7" spans="1:16">
      <c r="A7" t="s">
        <v>31</v>
      </c>
      <c r="B7" s="6">
        <v>44084</v>
      </c>
      <c r="C7" t="s">
        <v>131</v>
      </c>
      <c r="D7" t="s">
        <v>36</v>
      </c>
      <c r="E7" t="s">
        <v>133</v>
      </c>
      <c r="F7" t="s">
        <v>586</v>
      </c>
      <c r="G7" t="s">
        <v>27</v>
      </c>
      <c r="H7">
        <v>4350</v>
      </c>
      <c r="J7">
        <v>6960</v>
      </c>
      <c r="K7">
        <v>5707.2</v>
      </c>
      <c r="L7" t="s">
        <v>130</v>
      </c>
      <c r="M7" t="s">
        <v>118</v>
      </c>
      <c r="N7">
        <v>4350</v>
      </c>
      <c r="O7">
        <v>88.8</v>
      </c>
      <c r="P7">
        <v>386280</v>
      </c>
    </row>
    <row r="8" spans="1:16">
      <c r="A8" t="s">
        <v>30</v>
      </c>
      <c r="B8" s="6">
        <v>44084</v>
      </c>
      <c r="C8" t="s">
        <v>131</v>
      </c>
      <c r="D8" t="s">
        <v>36</v>
      </c>
      <c r="E8" t="s">
        <v>133</v>
      </c>
      <c r="F8" t="s">
        <v>586</v>
      </c>
      <c r="G8" t="s">
        <v>27</v>
      </c>
      <c r="H8">
        <v>4819</v>
      </c>
      <c r="J8">
        <v>16866.5</v>
      </c>
      <c r="K8">
        <v>14842.52</v>
      </c>
      <c r="L8" t="s">
        <v>130</v>
      </c>
      <c r="M8" t="s">
        <v>134</v>
      </c>
      <c r="N8">
        <v>4819</v>
      </c>
      <c r="O8">
        <v>30.2</v>
      </c>
      <c r="P8">
        <v>145533.8</v>
      </c>
    </row>
    <row r="9" spans="1:16">
      <c r="A9" t="s">
        <v>55</v>
      </c>
      <c r="B9" s="6">
        <v>44084</v>
      </c>
      <c r="C9" t="s">
        <v>131</v>
      </c>
      <c r="D9" t="s">
        <v>36</v>
      </c>
      <c r="E9" t="s">
        <v>133</v>
      </c>
      <c r="F9" t="s">
        <v>586</v>
      </c>
      <c r="G9" t="s">
        <v>27</v>
      </c>
      <c r="H9">
        <v>740</v>
      </c>
      <c r="J9">
        <v>2146</v>
      </c>
      <c r="K9">
        <v>1824.1</v>
      </c>
      <c r="L9" t="s">
        <v>130</v>
      </c>
      <c r="M9" t="s">
        <v>135</v>
      </c>
      <c r="N9">
        <v>740</v>
      </c>
      <c r="O9">
        <v>46.2</v>
      </c>
      <c r="P9">
        <v>34188</v>
      </c>
    </row>
    <row r="10" spans="1:16">
      <c r="A10" t="s">
        <v>30</v>
      </c>
      <c r="B10" s="6">
        <v>44084</v>
      </c>
      <c r="C10" t="s">
        <v>137</v>
      </c>
      <c r="D10" t="s">
        <v>28</v>
      </c>
      <c r="E10" t="s">
        <v>140</v>
      </c>
      <c r="F10" t="s">
        <v>586</v>
      </c>
      <c r="G10" t="s">
        <v>27</v>
      </c>
      <c r="H10">
        <v>1491</v>
      </c>
      <c r="J10">
        <v>447.3</v>
      </c>
      <c r="K10">
        <v>371.259</v>
      </c>
      <c r="L10" t="s">
        <v>136</v>
      </c>
      <c r="M10" t="s">
        <v>139</v>
      </c>
      <c r="N10">
        <v>1491</v>
      </c>
      <c r="O10">
        <v>75.6</v>
      </c>
      <c r="P10">
        <v>112719.6</v>
      </c>
    </row>
    <row r="11" spans="1:16">
      <c r="A11" t="s">
        <v>30</v>
      </c>
      <c r="B11" s="6">
        <v>44084</v>
      </c>
      <c r="C11" t="s">
        <v>142</v>
      </c>
      <c r="D11" t="s">
        <v>28</v>
      </c>
      <c r="E11" t="s">
        <v>144</v>
      </c>
      <c r="F11" t="s">
        <v>587</v>
      </c>
      <c r="G11" t="s">
        <v>105</v>
      </c>
      <c r="H11">
        <v>960</v>
      </c>
      <c r="J11">
        <v>1152</v>
      </c>
      <c r="K11">
        <v>921.6</v>
      </c>
      <c r="L11" t="s">
        <v>141</v>
      </c>
      <c r="M11" t="s">
        <v>128</v>
      </c>
      <c r="N11">
        <v>960</v>
      </c>
      <c r="O11">
        <v>36</v>
      </c>
      <c r="P11">
        <v>34560</v>
      </c>
    </row>
    <row r="12" spans="1:16">
      <c r="A12" t="s">
        <v>85</v>
      </c>
      <c r="B12" s="6">
        <v>44084</v>
      </c>
      <c r="C12" t="s">
        <v>146</v>
      </c>
      <c r="D12" t="s">
        <v>28</v>
      </c>
      <c r="E12" t="s">
        <v>149</v>
      </c>
      <c r="F12" t="s">
        <v>588</v>
      </c>
      <c r="G12" t="s">
        <v>96</v>
      </c>
      <c r="H12">
        <v>190</v>
      </c>
      <c r="J12">
        <v>760</v>
      </c>
      <c r="K12">
        <v>653.6</v>
      </c>
      <c r="L12" t="s">
        <v>145</v>
      </c>
      <c r="M12" t="s">
        <v>148</v>
      </c>
      <c r="N12">
        <v>190</v>
      </c>
      <c r="O12">
        <v>9.9</v>
      </c>
      <c r="P12">
        <v>1881</v>
      </c>
    </row>
    <row r="13" spans="1:16">
      <c r="A13" t="s">
        <v>67</v>
      </c>
      <c r="B13" s="6">
        <v>44084</v>
      </c>
      <c r="C13" t="s">
        <v>151</v>
      </c>
      <c r="D13" t="s">
        <v>42</v>
      </c>
      <c r="E13" t="s">
        <v>154</v>
      </c>
      <c r="F13" t="s">
        <v>589</v>
      </c>
      <c r="G13" t="s">
        <v>47</v>
      </c>
      <c r="H13">
        <v>1591</v>
      </c>
      <c r="J13">
        <v>1431.9</v>
      </c>
      <c r="K13">
        <v>1159.839</v>
      </c>
      <c r="L13" t="s">
        <v>150</v>
      </c>
      <c r="M13" t="s">
        <v>153</v>
      </c>
      <c r="N13">
        <v>1591</v>
      </c>
      <c r="O13">
        <v>39.8</v>
      </c>
      <c r="P13">
        <v>63321.8</v>
      </c>
    </row>
    <row r="14" spans="1:16">
      <c r="A14" t="s">
        <v>67</v>
      </c>
      <c r="B14" s="6">
        <v>44084</v>
      </c>
      <c r="C14" t="s">
        <v>156</v>
      </c>
      <c r="D14" t="s">
        <v>36</v>
      </c>
      <c r="E14" t="s">
        <v>158</v>
      </c>
      <c r="F14" t="s">
        <v>590</v>
      </c>
      <c r="G14" t="s">
        <v>58</v>
      </c>
      <c r="H14">
        <v>3527</v>
      </c>
      <c r="J14">
        <v>5643.2</v>
      </c>
      <c r="K14">
        <v>4796.72</v>
      </c>
      <c r="L14" t="s">
        <v>155</v>
      </c>
      <c r="M14" t="s">
        <v>123</v>
      </c>
      <c r="N14">
        <v>3527</v>
      </c>
      <c r="O14">
        <v>91.3</v>
      </c>
      <c r="P14">
        <v>322015.1</v>
      </c>
    </row>
    <row r="15" spans="1:16">
      <c r="A15" t="s">
        <v>30</v>
      </c>
      <c r="B15" s="6">
        <v>44084</v>
      </c>
      <c r="C15" t="s">
        <v>160</v>
      </c>
      <c r="D15" t="s">
        <v>28</v>
      </c>
      <c r="E15" t="s">
        <v>163</v>
      </c>
      <c r="F15" t="s">
        <v>591</v>
      </c>
      <c r="G15" t="s">
        <v>80</v>
      </c>
      <c r="H15">
        <v>2824</v>
      </c>
      <c r="J15">
        <v>7907.2</v>
      </c>
      <c r="K15">
        <v>6404.832</v>
      </c>
      <c r="L15" t="s">
        <v>159</v>
      </c>
      <c r="M15" t="s">
        <v>162</v>
      </c>
      <c r="N15">
        <v>2824</v>
      </c>
      <c r="O15">
        <v>95.3</v>
      </c>
      <c r="P15">
        <v>269127.2</v>
      </c>
    </row>
    <row r="16" spans="1:16">
      <c r="A16" t="s">
        <v>31</v>
      </c>
      <c r="B16" s="6">
        <v>44084</v>
      </c>
      <c r="C16" t="s">
        <v>165</v>
      </c>
      <c r="D16" t="s">
        <v>36</v>
      </c>
      <c r="E16" t="s">
        <v>167</v>
      </c>
      <c r="F16" t="s">
        <v>591</v>
      </c>
      <c r="G16" t="s">
        <v>69</v>
      </c>
      <c r="H16">
        <v>4809</v>
      </c>
      <c r="J16">
        <v>16350.6</v>
      </c>
      <c r="K16">
        <v>13570.998</v>
      </c>
      <c r="L16" t="s">
        <v>164</v>
      </c>
      <c r="M16" t="s">
        <v>112</v>
      </c>
      <c r="N16">
        <v>4809</v>
      </c>
      <c r="O16">
        <v>60.6</v>
      </c>
      <c r="P16">
        <v>291425.4</v>
      </c>
    </row>
    <row r="17" spans="1:16">
      <c r="A17" t="s">
        <v>30</v>
      </c>
      <c r="B17" s="6">
        <v>44084</v>
      </c>
      <c r="C17" t="s">
        <v>169</v>
      </c>
      <c r="D17" t="s">
        <v>36</v>
      </c>
      <c r="E17" t="s">
        <v>171</v>
      </c>
      <c r="F17" t="s">
        <v>591</v>
      </c>
      <c r="G17" t="s">
        <v>69</v>
      </c>
      <c r="H17">
        <v>1688</v>
      </c>
      <c r="J17">
        <v>2025.6</v>
      </c>
      <c r="K17">
        <v>1640.736</v>
      </c>
      <c r="L17" t="s">
        <v>168</v>
      </c>
      <c r="M17" t="s">
        <v>148</v>
      </c>
      <c r="N17">
        <v>1688</v>
      </c>
      <c r="O17">
        <v>19.1</v>
      </c>
      <c r="P17">
        <v>32240.8</v>
      </c>
    </row>
    <row r="18" spans="1:16">
      <c r="A18" t="s">
        <v>30</v>
      </c>
      <c r="B18" s="6">
        <v>44084</v>
      </c>
      <c r="C18" t="s">
        <v>169</v>
      </c>
      <c r="D18" t="s">
        <v>36</v>
      </c>
      <c r="E18" t="s">
        <v>171</v>
      </c>
      <c r="F18" t="s">
        <v>591</v>
      </c>
      <c r="G18" t="s">
        <v>69</v>
      </c>
      <c r="H18">
        <v>4164</v>
      </c>
      <c r="J18">
        <v>3331.2</v>
      </c>
      <c r="K18">
        <v>2898.144</v>
      </c>
      <c r="L18" t="s">
        <v>168</v>
      </c>
      <c r="M18" t="s">
        <v>172</v>
      </c>
      <c r="N18">
        <v>4164</v>
      </c>
      <c r="O18">
        <v>99.8</v>
      </c>
      <c r="P18">
        <v>415567.2</v>
      </c>
    </row>
    <row r="19" spans="1:16">
      <c r="A19" t="s">
        <v>55</v>
      </c>
      <c r="B19" s="6">
        <v>44084</v>
      </c>
      <c r="C19" t="s">
        <v>174</v>
      </c>
      <c r="D19" t="s">
        <v>42</v>
      </c>
      <c r="E19" t="s">
        <v>176</v>
      </c>
      <c r="F19" t="s">
        <v>592</v>
      </c>
      <c r="G19" t="s">
        <v>35</v>
      </c>
      <c r="H19">
        <v>3624</v>
      </c>
      <c r="J19">
        <v>12684</v>
      </c>
      <c r="K19">
        <v>10781.4</v>
      </c>
      <c r="L19" t="s">
        <v>173</v>
      </c>
      <c r="M19" t="s">
        <v>134</v>
      </c>
      <c r="N19">
        <v>3624</v>
      </c>
      <c r="O19">
        <v>15</v>
      </c>
      <c r="P19">
        <v>54360</v>
      </c>
    </row>
    <row r="20" spans="1:16">
      <c r="A20" t="s">
        <v>31</v>
      </c>
      <c r="B20" s="6">
        <v>44084</v>
      </c>
      <c r="C20" t="s">
        <v>178</v>
      </c>
      <c r="D20" t="s">
        <v>28</v>
      </c>
      <c r="E20" t="s">
        <v>181</v>
      </c>
      <c r="F20" t="s">
        <v>593</v>
      </c>
      <c r="G20" t="s">
        <v>110</v>
      </c>
      <c r="H20">
        <v>1704</v>
      </c>
      <c r="J20">
        <v>4260</v>
      </c>
      <c r="K20">
        <v>3535.8</v>
      </c>
      <c r="L20" t="s">
        <v>177</v>
      </c>
      <c r="M20" t="s">
        <v>180</v>
      </c>
      <c r="N20">
        <v>1704</v>
      </c>
      <c r="O20">
        <v>67.6</v>
      </c>
      <c r="P20">
        <v>115190.4</v>
      </c>
    </row>
    <row r="21" spans="1:16">
      <c r="A21" t="s">
        <v>55</v>
      </c>
      <c r="B21" s="6">
        <v>44084</v>
      </c>
      <c r="C21" t="s">
        <v>183</v>
      </c>
      <c r="D21" t="s">
        <v>36</v>
      </c>
      <c r="E21" t="s">
        <v>185</v>
      </c>
      <c r="F21" t="s">
        <v>594</v>
      </c>
      <c r="G21" t="s">
        <v>34</v>
      </c>
      <c r="H21">
        <v>2724</v>
      </c>
      <c r="J21">
        <v>1362</v>
      </c>
      <c r="K21">
        <v>1144.08</v>
      </c>
      <c r="L21" t="s">
        <v>182</v>
      </c>
      <c r="M21" t="s">
        <v>180</v>
      </c>
      <c r="N21">
        <v>2724</v>
      </c>
      <c r="O21">
        <v>11.5</v>
      </c>
      <c r="P21">
        <v>31326</v>
      </c>
    </row>
    <row r="22" spans="1:16">
      <c r="A22" t="s">
        <v>30</v>
      </c>
      <c r="B22" s="6">
        <v>44084</v>
      </c>
      <c r="C22" t="s">
        <v>187</v>
      </c>
      <c r="D22" t="s">
        <v>42</v>
      </c>
      <c r="E22" t="s">
        <v>190</v>
      </c>
      <c r="F22" t="s">
        <v>595</v>
      </c>
      <c r="G22" t="s">
        <v>110</v>
      </c>
      <c r="H22">
        <v>2102</v>
      </c>
      <c r="J22">
        <v>4834.6</v>
      </c>
      <c r="K22">
        <v>3916.026</v>
      </c>
      <c r="L22" t="s">
        <v>186</v>
      </c>
      <c r="M22" t="s">
        <v>189</v>
      </c>
      <c r="N22">
        <v>2102</v>
      </c>
      <c r="O22">
        <v>81.9</v>
      </c>
      <c r="P22">
        <v>172153.8</v>
      </c>
    </row>
    <row r="23" spans="1:16">
      <c r="A23" t="s">
        <v>55</v>
      </c>
      <c r="B23" s="6">
        <v>44084</v>
      </c>
      <c r="C23" t="s">
        <v>192</v>
      </c>
      <c r="D23" t="s">
        <v>42</v>
      </c>
      <c r="E23" t="s">
        <v>195</v>
      </c>
      <c r="F23" t="s">
        <v>596</v>
      </c>
      <c r="G23" t="s">
        <v>101</v>
      </c>
      <c r="H23">
        <v>4600</v>
      </c>
      <c r="J23">
        <v>1840</v>
      </c>
      <c r="K23">
        <v>1619.2</v>
      </c>
      <c r="L23" t="s">
        <v>191</v>
      </c>
      <c r="M23" t="s">
        <v>194</v>
      </c>
      <c r="N23">
        <v>4600</v>
      </c>
      <c r="O23">
        <v>37.9</v>
      </c>
      <c r="P23">
        <v>174340</v>
      </c>
    </row>
    <row r="24" spans="1:16">
      <c r="A24" t="s">
        <v>66</v>
      </c>
      <c r="B24" s="6">
        <v>44084</v>
      </c>
      <c r="C24" t="s">
        <v>197</v>
      </c>
      <c r="D24" t="s">
        <v>36</v>
      </c>
      <c r="E24" t="s">
        <v>200</v>
      </c>
      <c r="F24" t="s">
        <v>597</v>
      </c>
      <c r="G24" t="s">
        <v>80</v>
      </c>
      <c r="H24">
        <v>495</v>
      </c>
      <c r="J24">
        <v>1188</v>
      </c>
      <c r="K24">
        <v>997.92</v>
      </c>
      <c r="L24" t="s">
        <v>196</v>
      </c>
      <c r="M24" t="s">
        <v>199</v>
      </c>
      <c r="N24">
        <v>495</v>
      </c>
      <c r="O24">
        <v>27.6</v>
      </c>
      <c r="P24">
        <v>13662</v>
      </c>
    </row>
    <row r="25" spans="1:16">
      <c r="A25" t="s">
        <v>55</v>
      </c>
      <c r="B25" s="6">
        <v>44084</v>
      </c>
      <c r="C25" t="s">
        <v>202</v>
      </c>
      <c r="D25" t="s">
        <v>42</v>
      </c>
      <c r="E25" t="s">
        <v>205</v>
      </c>
      <c r="F25" t="s">
        <v>598</v>
      </c>
      <c r="G25" t="s">
        <v>90</v>
      </c>
      <c r="H25">
        <v>1838</v>
      </c>
      <c r="J25">
        <v>1654.2</v>
      </c>
      <c r="K25">
        <v>1356.444</v>
      </c>
      <c r="L25" t="s">
        <v>201</v>
      </c>
      <c r="M25" t="s">
        <v>204</v>
      </c>
      <c r="N25">
        <v>1838</v>
      </c>
      <c r="O25">
        <v>36.8</v>
      </c>
      <c r="P25">
        <v>67638.4</v>
      </c>
    </row>
    <row r="26" spans="1:16">
      <c r="A26" t="s">
        <v>66</v>
      </c>
      <c r="B26" s="6">
        <v>44084</v>
      </c>
      <c r="C26" t="s">
        <v>207</v>
      </c>
      <c r="D26" t="s">
        <v>42</v>
      </c>
      <c r="E26" t="s">
        <v>209</v>
      </c>
      <c r="F26" t="s">
        <v>599</v>
      </c>
      <c r="G26" t="s">
        <v>80</v>
      </c>
      <c r="H26">
        <v>3506</v>
      </c>
      <c r="J26">
        <v>2804.8</v>
      </c>
      <c r="K26">
        <v>2496.272</v>
      </c>
      <c r="L26" t="s">
        <v>206</v>
      </c>
      <c r="M26" t="s">
        <v>135</v>
      </c>
      <c r="N26">
        <v>3506</v>
      </c>
      <c r="O26">
        <v>76.3</v>
      </c>
      <c r="P26">
        <v>267507.8</v>
      </c>
    </row>
    <row r="27" spans="1:16">
      <c r="A27" t="s">
        <v>30</v>
      </c>
      <c r="B27" s="6">
        <v>44084</v>
      </c>
      <c r="C27" t="s">
        <v>211</v>
      </c>
      <c r="D27" t="s">
        <v>36</v>
      </c>
      <c r="E27" t="s">
        <v>214</v>
      </c>
      <c r="F27" t="s">
        <v>600</v>
      </c>
      <c r="G27" t="s">
        <v>78</v>
      </c>
      <c r="H27">
        <v>2928</v>
      </c>
      <c r="J27">
        <v>6734.4</v>
      </c>
      <c r="K27">
        <v>5454.864</v>
      </c>
      <c r="L27" t="s">
        <v>210</v>
      </c>
      <c r="M27" t="s">
        <v>213</v>
      </c>
      <c r="N27">
        <v>2928</v>
      </c>
      <c r="O27">
        <v>9.7</v>
      </c>
      <c r="P27">
        <v>28401.6</v>
      </c>
    </row>
    <row r="28" spans="1:16">
      <c r="A28" t="s">
        <v>85</v>
      </c>
      <c r="B28" s="6">
        <v>44084</v>
      </c>
      <c r="C28" t="s">
        <v>216</v>
      </c>
      <c r="D28" t="s">
        <v>36</v>
      </c>
      <c r="E28" t="s">
        <v>219</v>
      </c>
      <c r="F28" t="s">
        <v>601</v>
      </c>
      <c r="G28" t="s">
        <v>27</v>
      </c>
      <c r="H28">
        <v>2356</v>
      </c>
      <c r="J28">
        <v>1178</v>
      </c>
      <c r="K28">
        <v>954.18</v>
      </c>
      <c r="L28" t="s">
        <v>215</v>
      </c>
      <c r="M28" t="s">
        <v>218</v>
      </c>
      <c r="N28">
        <v>2356</v>
      </c>
      <c r="O28">
        <v>11.7</v>
      </c>
      <c r="P28">
        <v>27565.2</v>
      </c>
    </row>
    <row r="29" spans="1:16">
      <c r="A29" t="s">
        <v>84</v>
      </c>
      <c r="B29" s="6">
        <v>44084</v>
      </c>
      <c r="C29" t="s">
        <v>221</v>
      </c>
      <c r="D29" t="s">
        <v>28</v>
      </c>
      <c r="E29" t="s">
        <v>223</v>
      </c>
      <c r="F29" t="s">
        <v>602</v>
      </c>
      <c r="G29" t="s">
        <v>64</v>
      </c>
      <c r="H29">
        <v>1050</v>
      </c>
      <c r="J29">
        <v>3255</v>
      </c>
      <c r="K29">
        <v>2896.95</v>
      </c>
      <c r="L29" t="s">
        <v>220</v>
      </c>
      <c r="M29" t="s">
        <v>112</v>
      </c>
      <c r="N29">
        <v>1050</v>
      </c>
      <c r="O29">
        <v>59.7</v>
      </c>
      <c r="P29">
        <v>62685</v>
      </c>
    </row>
    <row r="30" spans="1:16">
      <c r="A30" t="s">
        <v>84</v>
      </c>
      <c r="B30" s="6">
        <v>44084</v>
      </c>
      <c r="C30" t="s">
        <v>225</v>
      </c>
      <c r="D30" t="s">
        <v>36</v>
      </c>
      <c r="E30" t="s">
        <v>228</v>
      </c>
      <c r="F30" t="s">
        <v>603</v>
      </c>
      <c r="G30" t="s">
        <v>41</v>
      </c>
      <c r="H30">
        <v>4336</v>
      </c>
      <c r="J30">
        <v>5203.2</v>
      </c>
      <c r="K30">
        <v>4162.56</v>
      </c>
      <c r="L30" t="s">
        <v>224</v>
      </c>
      <c r="M30" t="s">
        <v>227</v>
      </c>
      <c r="N30">
        <v>4336</v>
      </c>
      <c r="O30">
        <v>98.1</v>
      </c>
      <c r="P30">
        <v>425361.6</v>
      </c>
    </row>
    <row r="31" spans="1:16">
      <c r="A31" t="s">
        <v>30</v>
      </c>
      <c r="B31" s="6">
        <v>44084</v>
      </c>
      <c r="C31" t="s">
        <v>230</v>
      </c>
      <c r="D31" t="s">
        <v>28</v>
      </c>
      <c r="E31" t="s">
        <v>233</v>
      </c>
      <c r="F31" t="s">
        <v>604</v>
      </c>
      <c r="G31" t="s">
        <v>72</v>
      </c>
      <c r="H31">
        <v>4881</v>
      </c>
      <c r="J31">
        <v>14154.9</v>
      </c>
      <c r="K31">
        <v>12173.214</v>
      </c>
      <c r="L31" t="s">
        <v>229</v>
      </c>
      <c r="M31" t="s">
        <v>232</v>
      </c>
      <c r="N31">
        <v>4881</v>
      </c>
      <c r="O31">
        <v>94.3</v>
      </c>
      <c r="P31">
        <v>460278.3</v>
      </c>
    </row>
    <row r="32" spans="1:16">
      <c r="A32" t="s">
        <v>84</v>
      </c>
      <c r="B32" s="6">
        <v>44084</v>
      </c>
      <c r="C32" t="s">
        <v>230</v>
      </c>
      <c r="D32" t="s">
        <v>28</v>
      </c>
      <c r="E32" t="s">
        <v>233</v>
      </c>
      <c r="F32" t="s">
        <v>604</v>
      </c>
      <c r="G32" t="s">
        <v>72</v>
      </c>
      <c r="H32">
        <v>3222</v>
      </c>
      <c r="J32">
        <v>6766.2</v>
      </c>
      <c r="K32">
        <v>5751.27</v>
      </c>
      <c r="L32" t="s">
        <v>229</v>
      </c>
      <c r="M32" t="s">
        <v>213</v>
      </c>
      <c r="N32">
        <v>3222</v>
      </c>
      <c r="O32">
        <v>76.7</v>
      </c>
      <c r="P32">
        <v>247127.4</v>
      </c>
    </row>
    <row r="33" spans="1:16">
      <c r="A33" t="s">
        <v>85</v>
      </c>
      <c r="B33" s="6">
        <v>44084</v>
      </c>
      <c r="C33" t="s">
        <v>230</v>
      </c>
      <c r="D33" t="s">
        <v>28</v>
      </c>
      <c r="E33" t="s">
        <v>233</v>
      </c>
      <c r="F33" t="s">
        <v>604</v>
      </c>
      <c r="G33" t="s">
        <v>72</v>
      </c>
      <c r="H33">
        <v>4414</v>
      </c>
      <c r="J33">
        <v>7062.4</v>
      </c>
      <c r="K33">
        <v>5649.92</v>
      </c>
      <c r="L33" t="s">
        <v>229</v>
      </c>
      <c r="M33" t="s">
        <v>234</v>
      </c>
      <c r="N33">
        <v>4414</v>
      </c>
      <c r="O33">
        <v>99.4</v>
      </c>
      <c r="P33">
        <v>438751.6</v>
      </c>
    </row>
    <row r="34" spans="1:16">
      <c r="A34" t="s">
        <v>31</v>
      </c>
      <c r="B34" s="6">
        <v>44084</v>
      </c>
      <c r="C34" t="s">
        <v>230</v>
      </c>
      <c r="D34" t="s">
        <v>28</v>
      </c>
      <c r="E34" t="s">
        <v>233</v>
      </c>
      <c r="F34" t="s">
        <v>604</v>
      </c>
      <c r="G34" t="s">
        <v>72</v>
      </c>
      <c r="H34">
        <v>3380</v>
      </c>
      <c r="J34">
        <v>9126</v>
      </c>
      <c r="K34">
        <v>8122.14</v>
      </c>
      <c r="L34" t="s">
        <v>229</v>
      </c>
      <c r="M34" t="s">
        <v>199</v>
      </c>
      <c r="N34">
        <v>3380</v>
      </c>
      <c r="O34">
        <v>66.8</v>
      </c>
      <c r="P34">
        <v>225784</v>
      </c>
    </row>
    <row r="35" spans="1:16">
      <c r="A35" t="s">
        <v>31</v>
      </c>
      <c r="B35" s="6">
        <v>44084</v>
      </c>
      <c r="C35" t="s">
        <v>236</v>
      </c>
      <c r="D35" t="s">
        <v>36</v>
      </c>
      <c r="E35" t="s">
        <v>605</v>
      </c>
      <c r="F35" t="s">
        <v>606</v>
      </c>
      <c r="G35" t="s">
        <v>80</v>
      </c>
      <c r="H35">
        <v>2184</v>
      </c>
      <c r="J35">
        <v>3057.6</v>
      </c>
      <c r="K35">
        <v>2476.656</v>
      </c>
      <c r="L35" t="s">
        <v>235</v>
      </c>
      <c r="M35" t="s">
        <v>112</v>
      </c>
      <c r="N35">
        <v>2184</v>
      </c>
      <c r="O35">
        <v>93.9</v>
      </c>
      <c r="P35">
        <v>205077.6</v>
      </c>
    </row>
    <row r="36" spans="1:16">
      <c r="A36" t="s">
        <v>31</v>
      </c>
      <c r="B36" s="6">
        <v>44084</v>
      </c>
      <c r="C36" t="s">
        <v>240</v>
      </c>
      <c r="D36" t="s">
        <v>36</v>
      </c>
      <c r="E36" t="s">
        <v>242</v>
      </c>
      <c r="F36" t="s">
        <v>607</v>
      </c>
      <c r="G36" t="s">
        <v>61</v>
      </c>
      <c r="H36">
        <v>2145</v>
      </c>
      <c r="J36">
        <v>7078.5</v>
      </c>
      <c r="K36">
        <v>5733.585</v>
      </c>
      <c r="L36" t="s">
        <v>239</v>
      </c>
      <c r="M36" t="s">
        <v>189</v>
      </c>
      <c r="N36">
        <v>2145</v>
      </c>
      <c r="O36">
        <v>66.4</v>
      </c>
      <c r="P36">
        <v>142428</v>
      </c>
    </row>
    <row r="37" spans="1:16">
      <c r="A37" t="s">
        <v>85</v>
      </c>
      <c r="B37" s="6">
        <v>44084</v>
      </c>
      <c r="C37" t="s">
        <v>244</v>
      </c>
      <c r="D37" t="s">
        <v>28</v>
      </c>
      <c r="E37" t="s">
        <v>246</v>
      </c>
      <c r="F37" t="s">
        <v>608</v>
      </c>
      <c r="G37" t="s">
        <v>82</v>
      </c>
      <c r="H37">
        <v>118</v>
      </c>
      <c r="J37">
        <v>401.2</v>
      </c>
      <c r="K37">
        <v>353.056</v>
      </c>
      <c r="L37" t="s">
        <v>243</v>
      </c>
      <c r="M37" t="s">
        <v>134</v>
      </c>
      <c r="N37">
        <v>118</v>
      </c>
      <c r="O37">
        <v>19.8</v>
      </c>
      <c r="P37">
        <v>2336.4</v>
      </c>
    </row>
    <row r="38" spans="1:16">
      <c r="A38" t="s">
        <v>56</v>
      </c>
      <c r="B38" s="6">
        <v>44084</v>
      </c>
      <c r="C38" t="s">
        <v>248</v>
      </c>
      <c r="D38" t="s">
        <v>36</v>
      </c>
      <c r="E38" t="s">
        <v>254</v>
      </c>
      <c r="F38" t="s">
        <v>609</v>
      </c>
      <c r="G38" t="s">
        <v>110</v>
      </c>
      <c r="H38">
        <v>1331</v>
      </c>
      <c r="J38">
        <v>1197.9</v>
      </c>
      <c r="K38">
        <v>970.299</v>
      </c>
      <c r="L38" t="s">
        <v>247</v>
      </c>
      <c r="M38" t="s">
        <v>134</v>
      </c>
      <c r="N38">
        <v>1331</v>
      </c>
      <c r="O38">
        <v>95.6</v>
      </c>
      <c r="P38">
        <v>127243.6</v>
      </c>
    </row>
    <row r="39" spans="1:16">
      <c r="A39" t="s">
        <v>67</v>
      </c>
      <c r="B39" s="6">
        <v>44084</v>
      </c>
      <c r="C39" t="s">
        <v>252</v>
      </c>
      <c r="D39" t="s">
        <v>36</v>
      </c>
      <c r="E39" t="s">
        <v>254</v>
      </c>
      <c r="F39" t="s">
        <v>610</v>
      </c>
      <c r="G39" t="s">
        <v>64</v>
      </c>
      <c r="H39">
        <v>4095</v>
      </c>
      <c r="J39">
        <v>14742</v>
      </c>
      <c r="K39">
        <v>12383.28</v>
      </c>
      <c r="L39" t="s">
        <v>251</v>
      </c>
      <c r="M39" t="s">
        <v>232</v>
      </c>
      <c r="N39">
        <v>4095</v>
      </c>
      <c r="O39">
        <v>39</v>
      </c>
      <c r="P39">
        <v>159705</v>
      </c>
    </row>
    <row r="40" spans="1:16">
      <c r="A40" t="s">
        <v>56</v>
      </c>
      <c r="B40" s="6">
        <v>44084</v>
      </c>
      <c r="C40" t="s">
        <v>256</v>
      </c>
      <c r="D40" t="s">
        <v>28</v>
      </c>
      <c r="E40" t="s">
        <v>258</v>
      </c>
      <c r="F40" t="s">
        <v>611</v>
      </c>
      <c r="G40" t="s">
        <v>78</v>
      </c>
      <c r="H40">
        <v>1123</v>
      </c>
      <c r="J40">
        <v>1123</v>
      </c>
      <c r="K40">
        <v>1010.7</v>
      </c>
      <c r="L40" t="s">
        <v>255</v>
      </c>
      <c r="M40" t="s">
        <v>112</v>
      </c>
      <c r="N40">
        <v>1123</v>
      </c>
      <c r="O40">
        <v>23.3</v>
      </c>
      <c r="P40">
        <v>26165.9</v>
      </c>
    </row>
    <row r="41" spans="1:16">
      <c r="A41" t="s">
        <v>56</v>
      </c>
      <c r="B41" s="6">
        <v>44084</v>
      </c>
      <c r="C41" t="s">
        <v>260</v>
      </c>
      <c r="D41" t="s">
        <v>42</v>
      </c>
      <c r="E41" t="s">
        <v>262</v>
      </c>
      <c r="F41" t="s">
        <v>612</v>
      </c>
      <c r="G41" t="s">
        <v>69</v>
      </c>
      <c r="H41">
        <v>2932</v>
      </c>
      <c r="J41">
        <v>11728</v>
      </c>
      <c r="K41">
        <v>9499.68</v>
      </c>
      <c r="L41" t="s">
        <v>259</v>
      </c>
      <c r="M41" t="s">
        <v>213</v>
      </c>
      <c r="N41">
        <v>2932</v>
      </c>
      <c r="O41">
        <v>24.5</v>
      </c>
      <c r="P41">
        <v>71834</v>
      </c>
    </row>
    <row r="42" spans="1:16">
      <c r="A42" t="s">
        <v>85</v>
      </c>
      <c r="B42" s="6">
        <v>44084</v>
      </c>
      <c r="C42" t="s">
        <v>260</v>
      </c>
      <c r="D42" t="s">
        <v>42</v>
      </c>
      <c r="E42" t="s">
        <v>262</v>
      </c>
      <c r="F42" t="s">
        <v>612</v>
      </c>
      <c r="G42" t="s">
        <v>69</v>
      </c>
      <c r="H42">
        <v>1113</v>
      </c>
      <c r="J42">
        <v>667.8</v>
      </c>
      <c r="K42">
        <v>560.952</v>
      </c>
      <c r="L42" t="s">
        <v>259</v>
      </c>
      <c r="M42" t="s">
        <v>180</v>
      </c>
      <c r="N42">
        <v>1113</v>
      </c>
      <c r="O42">
        <v>89.9</v>
      </c>
      <c r="P42">
        <v>100058.7</v>
      </c>
    </row>
    <row r="43" spans="1:16">
      <c r="A43" t="s">
        <v>66</v>
      </c>
      <c r="B43" s="6">
        <v>44084</v>
      </c>
      <c r="C43" t="s">
        <v>264</v>
      </c>
      <c r="D43" t="s">
        <v>42</v>
      </c>
      <c r="E43" t="s">
        <v>266</v>
      </c>
      <c r="F43" t="s">
        <v>613</v>
      </c>
      <c r="G43" t="s">
        <v>27</v>
      </c>
      <c r="H43">
        <v>4521</v>
      </c>
      <c r="J43">
        <v>4973.1</v>
      </c>
      <c r="K43">
        <v>4127.673</v>
      </c>
      <c r="L43" t="s">
        <v>263</v>
      </c>
      <c r="M43" t="s">
        <v>148</v>
      </c>
      <c r="N43">
        <v>4521</v>
      </c>
      <c r="O43">
        <v>60.1</v>
      </c>
      <c r="P43">
        <v>271712.1</v>
      </c>
    </row>
    <row r="44" spans="1:16">
      <c r="A44" t="s">
        <v>30</v>
      </c>
      <c r="B44" s="6">
        <v>44084</v>
      </c>
      <c r="C44" t="s">
        <v>268</v>
      </c>
      <c r="D44" t="s">
        <v>42</v>
      </c>
      <c r="E44" t="s">
        <v>270</v>
      </c>
      <c r="F44" t="s">
        <v>614</v>
      </c>
      <c r="G44" t="s">
        <v>90</v>
      </c>
      <c r="H44">
        <v>111</v>
      </c>
      <c r="J44">
        <v>166.5</v>
      </c>
      <c r="K44">
        <v>134.865</v>
      </c>
      <c r="L44" t="s">
        <v>267</v>
      </c>
      <c r="M44" t="s">
        <v>139</v>
      </c>
      <c r="N44">
        <v>111</v>
      </c>
      <c r="O44">
        <v>82.8</v>
      </c>
      <c r="P44">
        <v>9190.8</v>
      </c>
    </row>
    <row r="45" spans="1:16">
      <c r="A45" t="s">
        <v>55</v>
      </c>
      <c r="B45" s="6">
        <v>44084</v>
      </c>
      <c r="C45" t="s">
        <v>272</v>
      </c>
      <c r="D45" t="s">
        <v>42</v>
      </c>
      <c r="E45" t="s">
        <v>275</v>
      </c>
      <c r="F45" t="s">
        <v>615</v>
      </c>
      <c r="G45" t="s">
        <v>64</v>
      </c>
      <c r="H45">
        <v>4959</v>
      </c>
      <c r="J45">
        <v>5950.8</v>
      </c>
      <c r="K45">
        <v>4879.656</v>
      </c>
      <c r="L45" t="s">
        <v>271</v>
      </c>
      <c r="M45" t="s">
        <v>274</v>
      </c>
      <c r="N45">
        <v>4959</v>
      </c>
      <c r="O45">
        <v>15.6</v>
      </c>
      <c r="P45">
        <v>77360.4</v>
      </c>
    </row>
    <row r="46" spans="1:16">
      <c r="A46" t="s">
        <v>84</v>
      </c>
      <c r="B46" s="6">
        <v>44084</v>
      </c>
      <c r="C46" t="s">
        <v>277</v>
      </c>
      <c r="D46" t="s">
        <v>36</v>
      </c>
      <c r="E46" t="s">
        <v>279</v>
      </c>
      <c r="F46" t="s">
        <v>616</v>
      </c>
      <c r="G46" t="s">
        <v>46</v>
      </c>
      <c r="H46">
        <v>4806</v>
      </c>
      <c r="J46">
        <v>16340.4</v>
      </c>
      <c r="K46">
        <v>13235.724</v>
      </c>
      <c r="L46" t="s">
        <v>276</v>
      </c>
      <c r="M46" t="s">
        <v>135</v>
      </c>
      <c r="N46">
        <v>4806</v>
      </c>
      <c r="O46">
        <v>95.2</v>
      </c>
      <c r="P46">
        <v>457531.2</v>
      </c>
    </row>
    <row r="47" spans="1:16">
      <c r="A47" t="s">
        <v>56</v>
      </c>
      <c r="B47" s="6">
        <v>44084</v>
      </c>
      <c r="C47" t="s">
        <v>281</v>
      </c>
      <c r="D47" t="s">
        <v>28</v>
      </c>
      <c r="E47" t="s">
        <v>283</v>
      </c>
      <c r="F47" t="s">
        <v>617</v>
      </c>
      <c r="G47" t="s">
        <v>103</v>
      </c>
      <c r="H47">
        <v>701</v>
      </c>
      <c r="J47">
        <v>280.4</v>
      </c>
      <c r="K47">
        <v>224.32</v>
      </c>
      <c r="L47" t="s">
        <v>280</v>
      </c>
      <c r="M47" t="s">
        <v>227</v>
      </c>
      <c r="N47">
        <v>701</v>
      </c>
      <c r="O47">
        <v>33.4</v>
      </c>
      <c r="P47">
        <v>23413.4</v>
      </c>
    </row>
    <row r="48" spans="1:16">
      <c r="A48" t="s">
        <v>30</v>
      </c>
      <c r="B48" s="6">
        <v>44084</v>
      </c>
      <c r="C48" t="s">
        <v>281</v>
      </c>
      <c r="D48" t="s">
        <v>28</v>
      </c>
      <c r="E48" t="s">
        <v>283</v>
      </c>
      <c r="F48" t="s">
        <v>617</v>
      </c>
      <c r="G48" t="s">
        <v>103</v>
      </c>
      <c r="H48">
        <v>3504</v>
      </c>
      <c r="J48">
        <v>12964.8</v>
      </c>
      <c r="K48">
        <v>10371.84</v>
      </c>
      <c r="L48" t="s">
        <v>280</v>
      </c>
      <c r="M48" t="s">
        <v>112</v>
      </c>
      <c r="N48">
        <v>3504</v>
      </c>
      <c r="O48">
        <v>95.4</v>
      </c>
      <c r="P48">
        <v>334281.6</v>
      </c>
    </row>
    <row r="49" spans="1:16">
      <c r="A49" t="s">
        <v>66</v>
      </c>
      <c r="B49" s="6">
        <v>44084</v>
      </c>
      <c r="C49" t="s">
        <v>285</v>
      </c>
      <c r="D49" t="s">
        <v>36</v>
      </c>
      <c r="E49" t="s">
        <v>287</v>
      </c>
      <c r="F49" t="s">
        <v>618</v>
      </c>
      <c r="G49" t="s">
        <v>58</v>
      </c>
      <c r="H49">
        <v>4375</v>
      </c>
      <c r="J49">
        <v>4812.5</v>
      </c>
      <c r="K49">
        <v>3898.125</v>
      </c>
      <c r="L49" t="s">
        <v>284</v>
      </c>
      <c r="M49" t="s">
        <v>234</v>
      </c>
      <c r="N49">
        <v>4375</v>
      </c>
      <c r="O49">
        <v>18.7</v>
      </c>
      <c r="P49">
        <v>81812.5</v>
      </c>
    </row>
    <row r="50" spans="1:16">
      <c r="A50" t="s">
        <v>85</v>
      </c>
      <c r="B50" s="6">
        <v>44084</v>
      </c>
      <c r="C50" t="s">
        <v>289</v>
      </c>
      <c r="D50" t="s">
        <v>36</v>
      </c>
      <c r="E50" t="s">
        <v>291</v>
      </c>
      <c r="F50" t="s">
        <v>619</v>
      </c>
      <c r="G50" t="s">
        <v>98</v>
      </c>
      <c r="H50">
        <v>2291</v>
      </c>
      <c r="J50">
        <v>5956.6</v>
      </c>
      <c r="K50">
        <v>5122.676</v>
      </c>
      <c r="L50" t="s">
        <v>288</v>
      </c>
      <c r="M50" t="s">
        <v>199</v>
      </c>
      <c r="N50">
        <v>2291</v>
      </c>
      <c r="O50">
        <v>22.9</v>
      </c>
      <c r="P50">
        <v>52463.9</v>
      </c>
    </row>
    <row r="51" spans="1:16">
      <c r="A51" t="s">
        <v>31</v>
      </c>
      <c r="B51" s="6">
        <v>44084</v>
      </c>
      <c r="C51" t="s">
        <v>293</v>
      </c>
      <c r="D51" t="s">
        <v>36</v>
      </c>
      <c r="E51" t="s">
        <v>295</v>
      </c>
      <c r="F51" t="s">
        <v>619</v>
      </c>
      <c r="G51" t="s">
        <v>58</v>
      </c>
      <c r="H51">
        <v>4354</v>
      </c>
      <c r="J51">
        <v>1306.2</v>
      </c>
      <c r="K51">
        <v>1058.022</v>
      </c>
      <c r="L51" t="s">
        <v>292</v>
      </c>
      <c r="M51" t="s">
        <v>123</v>
      </c>
      <c r="N51">
        <v>4354</v>
      </c>
      <c r="O51">
        <v>88.4</v>
      </c>
      <c r="P51">
        <v>384893.6</v>
      </c>
    </row>
    <row r="52" spans="1:16">
      <c r="A52" t="s">
        <v>84</v>
      </c>
      <c r="B52" s="6">
        <v>44084</v>
      </c>
      <c r="C52" t="s">
        <v>297</v>
      </c>
      <c r="D52" t="s">
        <v>36</v>
      </c>
      <c r="E52" t="s">
        <v>299</v>
      </c>
      <c r="F52" t="s">
        <v>620</v>
      </c>
      <c r="G52" t="s">
        <v>75</v>
      </c>
      <c r="H52">
        <v>2209</v>
      </c>
      <c r="J52">
        <v>8836</v>
      </c>
      <c r="K52">
        <v>7952.4</v>
      </c>
      <c r="L52" t="s">
        <v>296</v>
      </c>
      <c r="M52" t="s">
        <v>162</v>
      </c>
      <c r="N52">
        <v>2209</v>
      </c>
      <c r="O52">
        <v>35.1</v>
      </c>
      <c r="P52">
        <v>77535.9</v>
      </c>
    </row>
    <row r="53" spans="1:16">
      <c r="A53" t="s">
        <v>55</v>
      </c>
      <c r="B53" s="6">
        <v>44084</v>
      </c>
      <c r="C53" t="s">
        <v>297</v>
      </c>
      <c r="D53" t="s">
        <v>36</v>
      </c>
      <c r="E53" t="s">
        <v>299</v>
      </c>
      <c r="F53" t="s">
        <v>620</v>
      </c>
      <c r="G53" t="s">
        <v>75</v>
      </c>
      <c r="H53">
        <v>1657</v>
      </c>
      <c r="J53">
        <v>1822.7</v>
      </c>
      <c r="K53">
        <v>1531.068</v>
      </c>
      <c r="L53" t="s">
        <v>296</v>
      </c>
      <c r="M53" t="s">
        <v>180</v>
      </c>
      <c r="N53">
        <v>1657</v>
      </c>
      <c r="O53">
        <v>43.7</v>
      </c>
      <c r="P53">
        <v>72410.9</v>
      </c>
    </row>
    <row r="54" spans="1:16">
      <c r="A54" t="s">
        <v>30</v>
      </c>
      <c r="B54" s="6">
        <v>44084</v>
      </c>
      <c r="C54" t="s">
        <v>301</v>
      </c>
      <c r="D54" t="s">
        <v>28</v>
      </c>
      <c r="E54" t="s">
        <v>303</v>
      </c>
      <c r="F54" t="s">
        <v>621</v>
      </c>
      <c r="G54" t="s">
        <v>34</v>
      </c>
      <c r="H54">
        <v>1581</v>
      </c>
      <c r="J54">
        <v>5059.2</v>
      </c>
      <c r="K54">
        <v>4249.728</v>
      </c>
      <c r="L54" t="s">
        <v>300</v>
      </c>
      <c r="M54" t="s">
        <v>199</v>
      </c>
      <c r="N54">
        <v>1581</v>
      </c>
      <c r="O54">
        <v>54.1</v>
      </c>
      <c r="P54">
        <v>85532.1</v>
      </c>
    </row>
    <row r="55" spans="1:16">
      <c r="A55" t="s">
        <v>30</v>
      </c>
      <c r="B55" s="6">
        <v>44084</v>
      </c>
      <c r="C55" t="s">
        <v>305</v>
      </c>
      <c r="D55" t="s">
        <v>36</v>
      </c>
      <c r="E55" t="s">
        <v>307</v>
      </c>
      <c r="F55" t="s">
        <v>622</v>
      </c>
      <c r="G55" t="s">
        <v>105</v>
      </c>
      <c r="H55">
        <v>2946</v>
      </c>
      <c r="J55">
        <v>10311</v>
      </c>
      <c r="K55">
        <v>9073.68</v>
      </c>
      <c r="L55" t="s">
        <v>304</v>
      </c>
      <c r="M55" t="s">
        <v>162</v>
      </c>
      <c r="N55">
        <v>2946</v>
      </c>
      <c r="O55">
        <v>23.6</v>
      </c>
      <c r="P55">
        <v>69525.6</v>
      </c>
    </row>
    <row r="56" spans="1:16">
      <c r="A56" t="s">
        <v>56</v>
      </c>
      <c r="B56" s="6">
        <v>44084</v>
      </c>
      <c r="C56" t="s">
        <v>309</v>
      </c>
      <c r="D56" t="s">
        <v>42</v>
      </c>
      <c r="E56" t="s">
        <v>311</v>
      </c>
      <c r="F56" t="s">
        <v>623</v>
      </c>
      <c r="G56" t="s">
        <v>96</v>
      </c>
      <c r="H56">
        <v>4858</v>
      </c>
      <c r="J56">
        <v>10687.6</v>
      </c>
      <c r="K56">
        <v>8977.584</v>
      </c>
      <c r="L56" t="s">
        <v>308</v>
      </c>
      <c r="M56" t="s">
        <v>128</v>
      </c>
      <c r="N56">
        <v>4858</v>
      </c>
      <c r="O56">
        <v>10.6</v>
      </c>
      <c r="P56">
        <v>51494.8</v>
      </c>
    </row>
    <row r="57" spans="1:16">
      <c r="A57" t="s">
        <v>55</v>
      </c>
      <c r="B57" s="6">
        <v>44084</v>
      </c>
      <c r="C57" t="s">
        <v>313</v>
      </c>
      <c r="D57" t="s">
        <v>28</v>
      </c>
      <c r="E57" t="s">
        <v>316</v>
      </c>
      <c r="F57" t="s">
        <v>624</v>
      </c>
      <c r="G57" t="s">
        <v>35</v>
      </c>
      <c r="H57">
        <v>1894</v>
      </c>
      <c r="J57">
        <v>2083.4</v>
      </c>
      <c r="K57">
        <v>1750.056</v>
      </c>
      <c r="L57" t="s">
        <v>312</v>
      </c>
      <c r="M57" t="s">
        <v>315</v>
      </c>
      <c r="N57">
        <v>1894</v>
      </c>
      <c r="O57">
        <v>28.4</v>
      </c>
      <c r="P57">
        <v>53789.6</v>
      </c>
    </row>
    <row r="58" spans="1:16">
      <c r="A58" t="s">
        <v>31</v>
      </c>
      <c r="B58" s="6">
        <v>44084</v>
      </c>
      <c r="C58" t="s">
        <v>318</v>
      </c>
      <c r="D58" t="s">
        <v>42</v>
      </c>
      <c r="E58" t="s">
        <v>320</v>
      </c>
      <c r="F58" t="s">
        <v>625</v>
      </c>
      <c r="G58" t="s">
        <v>72</v>
      </c>
      <c r="H58">
        <v>4862</v>
      </c>
      <c r="J58">
        <v>2917.2</v>
      </c>
      <c r="K58">
        <v>2450.448</v>
      </c>
      <c r="L58" t="s">
        <v>317</v>
      </c>
      <c r="M58" t="s">
        <v>148</v>
      </c>
      <c r="N58">
        <v>4862</v>
      </c>
      <c r="O58">
        <v>95.9</v>
      </c>
      <c r="P58">
        <v>466265.8</v>
      </c>
    </row>
    <row r="59" spans="1:16">
      <c r="A59" t="s">
        <v>31</v>
      </c>
      <c r="B59" s="6">
        <v>44084</v>
      </c>
      <c r="C59" t="s">
        <v>322</v>
      </c>
      <c r="D59" t="s">
        <v>36</v>
      </c>
      <c r="E59" t="s">
        <v>324</v>
      </c>
      <c r="F59" t="s">
        <v>626</v>
      </c>
      <c r="G59" t="s">
        <v>87</v>
      </c>
      <c r="H59">
        <v>4861</v>
      </c>
      <c r="J59">
        <v>1458.3</v>
      </c>
      <c r="K59">
        <v>1268.721</v>
      </c>
      <c r="L59" t="s">
        <v>321</v>
      </c>
      <c r="M59" t="s">
        <v>123</v>
      </c>
      <c r="N59">
        <v>4861</v>
      </c>
      <c r="O59">
        <v>66.3</v>
      </c>
      <c r="P59">
        <v>322284.3</v>
      </c>
    </row>
    <row r="60" spans="1:16">
      <c r="A60" t="s">
        <v>55</v>
      </c>
      <c r="B60" s="6">
        <v>44084</v>
      </c>
      <c r="C60" t="s">
        <v>322</v>
      </c>
      <c r="D60" t="s">
        <v>36</v>
      </c>
      <c r="E60" t="s">
        <v>324</v>
      </c>
      <c r="F60" t="s">
        <v>626</v>
      </c>
      <c r="G60" t="s">
        <v>87</v>
      </c>
      <c r="H60">
        <v>1527</v>
      </c>
      <c r="J60">
        <v>1068.9</v>
      </c>
      <c r="K60">
        <v>887.187</v>
      </c>
      <c r="L60" t="s">
        <v>321</v>
      </c>
      <c r="M60" t="s">
        <v>325</v>
      </c>
      <c r="N60">
        <v>1527</v>
      </c>
      <c r="O60">
        <v>69.9</v>
      </c>
      <c r="P60">
        <v>106737.3</v>
      </c>
    </row>
    <row r="61" spans="1:16">
      <c r="A61" t="s">
        <v>67</v>
      </c>
      <c r="B61" s="6">
        <v>44084</v>
      </c>
      <c r="C61" t="s">
        <v>327</v>
      </c>
      <c r="D61" t="s">
        <v>42</v>
      </c>
      <c r="E61" t="s">
        <v>329</v>
      </c>
      <c r="F61" t="s">
        <v>627</v>
      </c>
      <c r="G61" t="s">
        <v>64</v>
      </c>
      <c r="H61">
        <v>3362</v>
      </c>
      <c r="J61">
        <v>6742</v>
      </c>
      <c r="K61">
        <v>5984.36</v>
      </c>
      <c r="L61" t="s">
        <v>326</v>
      </c>
      <c r="M61" t="s">
        <v>199</v>
      </c>
      <c r="N61">
        <v>3362</v>
      </c>
      <c r="O61">
        <v>9</v>
      </c>
      <c r="P61">
        <v>30258</v>
      </c>
    </row>
    <row r="62" spans="1:16">
      <c r="A62" t="s">
        <v>30</v>
      </c>
      <c r="B62" s="6">
        <v>44084</v>
      </c>
      <c r="C62" t="s">
        <v>331</v>
      </c>
      <c r="D62" t="s">
        <v>28</v>
      </c>
      <c r="E62" t="s">
        <v>333</v>
      </c>
      <c r="F62" t="s">
        <v>628</v>
      </c>
      <c r="G62" t="s">
        <v>93</v>
      </c>
      <c r="H62">
        <v>399</v>
      </c>
      <c r="J62">
        <v>39.9</v>
      </c>
      <c r="K62">
        <v>34.314</v>
      </c>
      <c r="L62" t="s">
        <v>330</v>
      </c>
      <c r="M62" t="s">
        <v>134</v>
      </c>
      <c r="N62">
        <v>399</v>
      </c>
      <c r="O62">
        <v>34.1</v>
      </c>
      <c r="P62">
        <v>13605.9</v>
      </c>
    </row>
    <row r="63" spans="1:16">
      <c r="A63" t="s">
        <v>30</v>
      </c>
      <c r="B63" s="6">
        <v>44084</v>
      </c>
      <c r="C63" t="s">
        <v>335</v>
      </c>
      <c r="D63" t="s">
        <v>28</v>
      </c>
      <c r="E63" t="s">
        <v>337</v>
      </c>
      <c r="F63" t="s">
        <v>629</v>
      </c>
      <c r="G63" t="s">
        <v>41</v>
      </c>
      <c r="H63">
        <v>2503</v>
      </c>
      <c r="J63">
        <v>8009.6</v>
      </c>
      <c r="K63">
        <v>6808.16</v>
      </c>
      <c r="L63" t="s">
        <v>334</v>
      </c>
      <c r="M63" t="s">
        <v>204</v>
      </c>
      <c r="N63">
        <v>2503</v>
      </c>
      <c r="O63">
        <v>68.7</v>
      </c>
      <c r="P63">
        <v>171956.1</v>
      </c>
    </row>
    <row r="64" spans="1:16">
      <c r="A64" t="s">
        <v>31</v>
      </c>
      <c r="B64" s="6">
        <v>44084</v>
      </c>
      <c r="C64" t="s">
        <v>339</v>
      </c>
      <c r="D64" t="s">
        <v>42</v>
      </c>
      <c r="E64" t="s">
        <v>341</v>
      </c>
      <c r="F64" t="s">
        <v>630</v>
      </c>
      <c r="G64" t="s">
        <v>46</v>
      </c>
      <c r="H64">
        <v>4001</v>
      </c>
      <c r="J64">
        <v>4001</v>
      </c>
      <c r="K64">
        <v>3480.87</v>
      </c>
      <c r="L64" t="s">
        <v>338</v>
      </c>
      <c r="M64" t="s">
        <v>218</v>
      </c>
      <c r="N64">
        <v>4001</v>
      </c>
      <c r="O64">
        <v>60.7</v>
      </c>
      <c r="P64">
        <v>242860.7</v>
      </c>
    </row>
    <row r="65" spans="1:16">
      <c r="A65" t="s">
        <v>31</v>
      </c>
      <c r="B65" s="6">
        <v>44084</v>
      </c>
      <c r="C65" t="s">
        <v>343</v>
      </c>
      <c r="D65" t="s">
        <v>36</v>
      </c>
      <c r="E65" t="s">
        <v>345</v>
      </c>
      <c r="F65" t="s">
        <v>631</v>
      </c>
      <c r="G65" t="s">
        <v>98</v>
      </c>
      <c r="H65">
        <v>175</v>
      </c>
      <c r="J65">
        <v>682.5</v>
      </c>
      <c r="K65">
        <v>614.25</v>
      </c>
      <c r="L65" t="s">
        <v>342</v>
      </c>
      <c r="M65" t="s">
        <v>162</v>
      </c>
      <c r="N65">
        <v>175</v>
      </c>
      <c r="O65">
        <v>44.3</v>
      </c>
      <c r="P65">
        <v>7752.5</v>
      </c>
    </row>
    <row r="66" spans="1:16">
      <c r="A66" t="s">
        <v>31</v>
      </c>
      <c r="B66" s="6">
        <v>44084</v>
      </c>
      <c r="C66" t="s">
        <v>343</v>
      </c>
      <c r="D66" t="s">
        <v>36</v>
      </c>
      <c r="E66" t="s">
        <v>345</v>
      </c>
      <c r="F66" t="s">
        <v>631</v>
      </c>
      <c r="G66" t="s">
        <v>98</v>
      </c>
      <c r="H66">
        <v>203</v>
      </c>
      <c r="J66">
        <v>446.6</v>
      </c>
      <c r="K66">
        <v>379.61</v>
      </c>
      <c r="L66" t="s">
        <v>342</v>
      </c>
      <c r="M66" t="s">
        <v>199</v>
      </c>
      <c r="N66">
        <v>203</v>
      </c>
      <c r="O66">
        <v>73.9</v>
      </c>
      <c r="P66">
        <v>15001.7</v>
      </c>
    </row>
    <row r="67" spans="1:16">
      <c r="A67" t="s">
        <v>30</v>
      </c>
      <c r="B67" s="6">
        <v>44084</v>
      </c>
      <c r="C67" t="s">
        <v>347</v>
      </c>
      <c r="D67" t="s">
        <v>28</v>
      </c>
      <c r="E67" t="s">
        <v>349</v>
      </c>
      <c r="F67" t="s">
        <v>632</v>
      </c>
      <c r="G67" t="s">
        <v>53</v>
      </c>
      <c r="H67">
        <v>1772</v>
      </c>
      <c r="J67">
        <v>4607.2</v>
      </c>
      <c r="K67">
        <v>4054.336</v>
      </c>
      <c r="L67" t="s">
        <v>346</v>
      </c>
      <c r="M67" t="s">
        <v>118</v>
      </c>
      <c r="N67">
        <v>1772</v>
      </c>
      <c r="O67">
        <v>75.8</v>
      </c>
      <c r="P67">
        <v>134317.6</v>
      </c>
    </row>
    <row r="68" spans="1:16">
      <c r="A68" t="s">
        <v>31</v>
      </c>
      <c r="B68" s="6">
        <v>44084</v>
      </c>
      <c r="C68" t="s">
        <v>351</v>
      </c>
      <c r="D68" t="s">
        <v>36</v>
      </c>
      <c r="E68" t="s">
        <v>353</v>
      </c>
      <c r="F68" t="s">
        <v>633</v>
      </c>
      <c r="G68" t="s">
        <v>87</v>
      </c>
      <c r="H68">
        <v>3307</v>
      </c>
      <c r="J68">
        <v>3968.4</v>
      </c>
      <c r="K68">
        <v>3373.14</v>
      </c>
      <c r="L68" t="s">
        <v>350</v>
      </c>
      <c r="M68" t="s">
        <v>199</v>
      </c>
      <c r="N68">
        <v>3307</v>
      </c>
      <c r="O68">
        <v>54.9</v>
      </c>
      <c r="P68">
        <v>181554.3</v>
      </c>
    </row>
    <row r="69" spans="1:16">
      <c r="A69" t="s">
        <v>85</v>
      </c>
      <c r="B69" s="6">
        <v>44084</v>
      </c>
      <c r="C69" t="s">
        <v>351</v>
      </c>
      <c r="D69" t="s">
        <v>36</v>
      </c>
      <c r="E69" t="s">
        <v>353</v>
      </c>
      <c r="F69" t="s">
        <v>633</v>
      </c>
      <c r="G69" t="s">
        <v>87</v>
      </c>
      <c r="H69">
        <v>520</v>
      </c>
      <c r="J69">
        <v>416</v>
      </c>
      <c r="K69">
        <v>349.44</v>
      </c>
      <c r="L69" t="s">
        <v>350</v>
      </c>
      <c r="M69" t="s">
        <v>227</v>
      </c>
      <c r="N69">
        <v>520</v>
      </c>
      <c r="O69">
        <v>91.4</v>
      </c>
      <c r="P69">
        <v>47528</v>
      </c>
    </row>
    <row r="70" spans="1:16">
      <c r="A70" t="s">
        <v>55</v>
      </c>
      <c r="B70" s="6">
        <v>44084</v>
      </c>
      <c r="C70" t="s">
        <v>355</v>
      </c>
      <c r="D70" t="s">
        <v>36</v>
      </c>
      <c r="E70" t="s">
        <v>357</v>
      </c>
      <c r="F70" t="s">
        <v>634</v>
      </c>
      <c r="G70" t="s">
        <v>90</v>
      </c>
      <c r="H70">
        <v>3738</v>
      </c>
      <c r="J70">
        <v>9345</v>
      </c>
      <c r="K70">
        <v>8223.6</v>
      </c>
      <c r="L70" t="s">
        <v>354</v>
      </c>
      <c r="M70" t="s">
        <v>118</v>
      </c>
      <c r="N70">
        <v>3738</v>
      </c>
      <c r="O70">
        <v>56.1</v>
      </c>
      <c r="P70">
        <v>209701.8</v>
      </c>
    </row>
    <row r="71" spans="1:16">
      <c r="A71" t="s">
        <v>56</v>
      </c>
      <c r="B71" s="6">
        <v>44084</v>
      </c>
      <c r="C71" t="s">
        <v>359</v>
      </c>
      <c r="D71" t="s">
        <v>42</v>
      </c>
      <c r="E71" t="s">
        <v>361</v>
      </c>
      <c r="F71" t="s">
        <v>634</v>
      </c>
      <c r="G71" t="s">
        <v>90</v>
      </c>
      <c r="H71">
        <v>4833</v>
      </c>
      <c r="J71">
        <v>9666</v>
      </c>
      <c r="K71">
        <v>8022.78</v>
      </c>
      <c r="L71" t="s">
        <v>358</v>
      </c>
      <c r="M71" t="s">
        <v>234</v>
      </c>
      <c r="N71">
        <v>4833</v>
      </c>
      <c r="O71">
        <v>12.5</v>
      </c>
      <c r="P71">
        <v>60412.5</v>
      </c>
    </row>
    <row r="72" spans="1:16">
      <c r="A72" t="s">
        <v>55</v>
      </c>
      <c r="B72" s="6">
        <v>44084</v>
      </c>
      <c r="C72" t="s">
        <v>363</v>
      </c>
      <c r="D72" t="s">
        <v>28</v>
      </c>
      <c r="E72" t="s">
        <v>365</v>
      </c>
      <c r="F72" t="s">
        <v>635</v>
      </c>
      <c r="G72" t="s">
        <v>78</v>
      </c>
      <c r="H72">
        <v>3246</v>
      </c>
      <c r="J72">
        <v>10387.2</v>
      </c>
      <c r="K72">
        <v>8621.376</v>
      </c>
      <c r="L72" t="s">
        <v>362</v>
      </c>
      <c r="M72" t="s">
        <v>218</v>
      </c>
      <c r="N72">
        <v>3246</v>
      </c>
      <c r="O72">
        <v>70.3</v>
      </c>
      <c r="P72">
        <v>228193.8</v>
      </c>
    </row>
    <row r="73" spans="1:16">
      <c r="A73" t="s">
        <v>31</v>
      </c>
      <c r="B73" s="6">
        <v>44084</v>
      </c>
      <c r="C73" t="s">
        <v>367</v>
      </c>
      <c r="D73" t="s">
        <v>36</v>
      </c>
      <c r="E73" t="s">
        <v>369</v>
      </c>
      <c r="F73" t="s">
        <v>636</v>
      </c>
      <c r="G73" t="s">
        <v>103</v>
      </c>
      <c r="H73">
        <v>3002</v>
      </c>
      <c r="J73">
        <v>900.6</v>
      </c>
      <c r="K73">
        <v>765.51</v>
      </c>
      <c r="L73" t="s">
        <v>366</v>
      </c>
      <c r="M73" t="s">
        <v>123</v>
      </c>
      <c r="N73">
        <v>3002</v>
      </c>
      <c r="O73">
        <v>21.5</v>
      </c>
      <c r="P73">
        <v>64543</v>
      </c>
    </row>
    <row r="74" spans="1:16">
      <c r="A74" t="s">
        <v>56</v>
      </c>
      <c r="B74" s="6">
        <v>44084</v>
      </c>
      <c r="C74" t="s">
        <v>371</v>
      </c>
      <c r="D74" t="s">
        <v>42</v>
      </c>
      <c r="E74" t="s">
        <v>373</v>
      </c>
      <c r="F74" t="s">
        <v>637</v>
      </c>
      <c r="G74" t="s">
        <v>69</v>
      </c>
      <c r="H74">
        <v>719</v>
      </c>
      <c r="J74">
        <v>862.8</v>
      </c>
      <c r="K74">
        <v>724.752</v>
      </c>
      <c r="L74" t="s">
        <v>370</v>
      </c>
      <c r="M74" t="s">
        <v>274</v>
      </c>
      <c r="N74">
        <v>719</v>
      </c>
      <c r="O74">
        <v>36.8</v>
      </c>
      <c r="P74">
        <v>26459.2</v>
      </c>
    </row>
    <row r="75" spans="1:16">
      <c r="A75" t="s">
        <v>55</v>
      </c>
      <c r="B75" s="6">
        <v>44084</v>
      </c>
      <c r="C75" t="s">
        <v>375</v>
      </c>
      <c r="D75" t="s">
        <v>28</v>
      </c>
      <c r="E75" t="s">
        <v>377</v>
      </c>
      <c r="F75" t="s">
        <v>638</v>
      </c>
      <c r="G75" t="s">
        <v>105</v>
      </c>
      <c r="H75">
        <v>4761</v>
      </c>
      <c r="J75">
        <v>9522</v>
      </c>
      <c r="K75">
        <v>7712.82</v>
      </c>
      <c r="L75" t="s">
        <v>374</v>
      </c>
      <c r="M75" t="s">
        <v>180</v>
      </c>
      <c r="N75">
        <v>4761</v>
      </c>
      <c r="O75">
        <v>53.7</v>
      </c>
      <c r="P75">
        <v>255665.7</v>
      </c>
    </row>
    <row r="76" spans="1:16">
      <c r="A76" t="s">
        <v>55</v>
      </c>
      <c r="B76" s="6">
        <v>44084</v>
      </c>
      <c r="C76" t="s">
        <v>375</v>
      </c>
      <c r="D76" t="s">
        <v>28</v>
      </c>
      <c r="E76" t="s">
        <v>377</v>
      </c>
      <c r="F76" t="s">
        <v>638</v>
      </c>
      <c r="G76" t="s">
        <v>105</v>
      </c>
      <c r="H76">
        <v>3146</v>
      </c>
      <c r="J76">
        <v>5977.4</v>
      </c>
      <c r="K76">
        <v>5080.79</v>
      </c>
      <c r="L76" t="s">
        <v>374</v>
      </c>
      <c r="M76" t="s">
        <v>180</v>
      </c>
      <c r="N76">
        <v>3146</v>
      </c>
      <c r="O76">
        <v>9.9</v>
      </c>
      <c r="P76">
        <v>31145.4</v>
      </c>
    </row>
    <row r="77" spans="1:16">
      <c r="A77" t="s">
        <v>56</v>
      </c>
      <c r="B77" s="6">
        <v>44084</v>
      </c>
      <c r="C77" t="s">
        <v>375</v>
      </c>
      <c r="D77" t="s">
        <v>28</v>
      </c>
      <c r="E77" t="s">
        <v>377</v>
      </c>
      <c r="F77" t="s">
        <v>638</v>
      </c>
      <c r="G77" t="s">
        <v>105</v>
      </c>
      <c r="H77">
        <v>1312</v>
      </c>
      <c r="J77">
        <v>1836.8</v>
      </c>
      <c r="K77">
        <v>1542.912</v>
      </c>
      <c r="L77" t="s">
        <v>374</v>
      </c>
      <c r="M77" t="s">
        <v>139</v>
      </c>
      <c r="N77">
        <v>1312</v>
      </c>
      <c r="O77">
        <v>76.5</v>
      </c>
      <c r="P77">
        <v>100368</v>
      </c>
    </row>
    <row r="78" spans="1:16">
      <c r="A78" t="s">
        <v>85</v>
      </c>
      <c r="B78" s="6">
        <v>44084</v>
      </c>
      <c r="C78" t="s">
        <v>379</v>
      </c>
      <c r="D78" t="s">
        <v>42</v>
      </c>
      <c r="E78" t="s">
        <v>381</v>
      </c>
      <c r="F78" t="s">
        <v>639</v>
      </c>
      <c r="G78" t="s">
        <v>41</v>
      </c>
      <c r="H78">
        <v>3623</v>
      </c>
      <c r="J78">
        <v>6159.1</v>
      </c>
      <c r="K78">
        <v>5296.826</v>
      </c>
      <c r="L78" t="s">
        <v>378</v>
      </c>
      <c r="M78" t="s">
        <v>118</v>
      </c>
      <c r="N78">
        <v>3623</v>
      </c>
      <c r="O78">
        <v>98.3</v>
      </c>
      <c r="P78">
        <v>356140.9</v>
      </c>
    </row>
    <row r="79" spans="1:16">
      <c r="A79" t="s">
        <v>30</v>
      </c>
      <c r="B79" s="6">
        <v>44084</v>
      </c>
      <c r="C79" t="s">
        <v>383</v>
      </c>
      <c r="D79" t="s">
        <v>42</v>
      </c>
      <c r="E79" t="s">
        <v>385</v>
      </c>
      <c r="F79" t="s">
        <v>640</v>
      </c>
      <c r="G79" t="s">
        <v>58</v>
      </c>
      <c r="H79">
        <v>1400</v>
      </c>
      <c r="J79">
        <v>560</v>
      </c>
      <c r="K79">
        <v>464.8</v>
      </c>
      <c r="L79" t="s">
        <v>382</v>
      </c>
      <c r="M79" t="s">
        <v>172</v>
      </c>
      <c r="N79">
        <v>1400</v>
      </c>
      <c r="O79">
        <v>33.9</v>
      </c>
      <c r="P79">
        <v>47460</v>
      </c>
    </row>
    <row r="80" spans="1:16">
      <c r="A80" t="s">
        <v>31</v>
      </c>
      <c r="B80" s="6">
        <v>44084</v>
      </c>
      <c r="C80" t="s">
        <v>387</v>
      </c>
      <c r="D80" t="s">
        <v>42</v>
      </c>
      <c r="E80" t="s">
        <v>389</v>
      </c>
      <c r="F80" t="s">
        <v>641</v>
      </c>
      <c r="G80" t="s">
        <v>27</v>
      </c>
      <c r="H80">
        <v>797</v>
      </c>
      <c r="J80">
        <v>2550.4</v>
      </c>
      <c r="K80">
        <v>2295.36</v>
      </c>
      <c r="L80" t="s">
        <v>386</v>
      </c>
      <c r="M80" t="s">
        <v>189</v>
      </c>
      <c r="N80">
        <v>797</v>
      </c>
      <c r="O80">
        <v>52.2</v>
      </c>
      <c r="P80">
        <v>41603.4</v>
      </c>
    </row>
    <row r="81" spans="1:16">
      <c r="A81" t="s">
        <v>67</v>
      </c>
      <c r="B81" s="6">
        <v>44084</v>
      </c>
      <c r="C81" t="s">
        <v>391</v>
      </c>
      <c r="D81" t="s">
        <v>42</v>
      </c>
      <c r="E81" t="s">
        <v>393</v>
      </c>
      <c r="F81" t="s">
        <v>642</v>
      </c>
      <c r="G81" t="s">
        <v>101</v>
      </c>
      <c r="H81">
        <v>4532</v>
      </c>
      <c r="J81">
        <v>906.4</v>
      </c>
      <c r="K81">
        <v>779.504</v>
      </c>
      <c r="L81" t="s">
        <v>390</v>
      </c>
      <c r="M81" t="s">
        <v>112</v>
      </c>
      <c r="N81">
        <v>4532</v>
      </c>
      <c r="O81">
        <v>36.2</v>
      </c>
      <c r="P81">
        <v>164058.4</v>
      </c>
    </row>
    <row r="82" spans="1:16">
      <c r="A82" t="s">
        <v>30</v>
      </c>
      <c r="B82" s="6">
        <v>44084</v>
      </c>
      <c r="C82" t="s">
        <v>395</v>
      </c>
      <c r="D82" t="s">
        <v>42</v>
      </c>
      <c r="E82" t="s">
        <v>397</v>
      </c>
      <c r="F82" t="s">
        <v>643</v>
      </c>
      <c r="G82" t="s">
        <v>103</v>
      </c>
      <c r="H82">
        <v>3275</v>
      </c>
      <c r="J82">
        <v>1310</v>
      </c>
      <c r="K82">
        <v>1061.1</v>
      </c>
      <c r="L82" t="s">
        <v>394</v>
      </c>
      <c r="M82" t="s">
        <v>180</v>
      </c>
      <c r="N82">
        <v>3275</v>
      </c>
      <c r="O82">
        <v>9.1</v>
      </c>
      <c r="P82">
        <v>29802.5</v>
      </c>
    </row>
    <row r="83" spans="1:16">
      <c r="A83" t="s">
        <v>31</v>
      </c>
      <c r="B83" s="6">
        <v>44084</v>
      </c>
      <c r="C83" t="s">
        <v>399</v>
      </c>
      <c r="D83" t="s">
        <v>28</v>
      </c>
      <c r="E83" t="s">
        <v>401</v>
      </c>
      <c r="F83" t="s">
        <v>644</v>
      </c>
      <c r="G83" t="s">
        <v>72</v>
      </c>
      <c r="H83">
        <v>2101</v>
      </c>
      <c r="J83">
        <v>3781.8</v>
      </c>
      <c r="K83">
        <v>3252.348</v>
      </c>
      <c r="L83" t="s">
        <v>398</v>
      </c>
      <c r="M83" t="s">
        <v>218</v>
      </c>
      <c r="N83">
        <v>2101</v>
      </c>
      <c r="O83">
        <v>43.5</v>
      </c>
      <c r="P83">
        <v>91393.5</v>
      </c>
    </row>
    <row r="84" spans="1:16">
      <c r="A84" t="s">
        <v>31</v>
      </c>
      <c r="B84" s="6">
        <v>44084</v>
      </c>
      <c r="C84" t="s">
        <v>403</v>
      </c>
      <c r="D84" t="s">
        <v>42</v>
      </c>
      <c r="E84" t="s">
        <v>405</v>
      </c>
      <c r="F84" t="s">
        <v>645</v>
      </c>
      <c r="G84" t="s">
        <v>41</v>
      </c>
      <c r="H84">
        <v>4816</v>
      </c>
      <c r="J84">
        <v>8187.2</v>
      </c>
      <c r="K84">
        <v>6877.248</v>
      </c>
      <c r="L84" t="s">
        <v>402</v>
      </c>
      <c r="M84" t="s">
        <v>232</v>
      </c>
      <c r="N84">
        <v>4816</v>
      </c>
      <c r="O84">
        <v>29.6</v>
      </c>
      <c r="P84">
        <v>142553.6</v>
      </c>
    </row>
    <row r="85" spans="1:16">
      <c r="A85" t="s">
        <v>56</v>
      </c>
      <c r="B85" s="6">
        <v>44084</v>
      </c>
      <c r="C85" t="s">
        <v>407</v>
      </c>
      <c r="D85" t="s">
        <v>42</v>
      </c>
      <c r="E85" t="s">
        <v>409</v>
      </c>
      <c r="F85" t="s">
        <v>646</v>
      </c>
      <c r="G85" t="s">
        <v>96</v>
      </c>
      <c r="H85">
        <v>3788</v>
      </c>
      <c r="J85">
        <v>11742.8</v>
      </c>
      <c r="K85">
        <v>9981.38</v>
      </c>
      <c r="L85" t="s">
        <v>406</v>
      </c>
      <c r="M85" t="s">
        <v>218</v>
      </c>
      <c r="N85">
        <v>3788</v>
      </c>
      <c r="O85">
        <v>76.6</v>
      </c>
      <c r="P85">
        <v>290160.8</v>
      </c>
    </row>
    <row r="86" spans="1:16">
      <c r="A86" t="s">
        <v>85</v>
      </c>
      <c r="B86" s="6">
        <v>44084</v>
      </c>
      <c r="C86" t="s">
        <v>411</v>
      </c>
      <c r="D86" t="s">
        <v>36</v>
      </c>
      <c r="E86" t="s">
        <v>413</v>
      </c>
      <c r="F86" t="s">
        <v>647</v>
      </c>
      <c r="G86" t="s">
        <v>78</v>
      </c>
      <c r="H86">
        <v>4974</v>
      </c>
      <c r="J86">
        <v>1989.6</v>
      </c>
      <c r="K86">
        <v>1671.264</v>
      </c>
      <c r="L86" t="s">
        <v>410</v>
      </c>
      <c r="M86" t="s">
        <v>139</v>
      </c>
      <c r="N86">
        <v>4974</v>
      </c>
      <c r="O86">
        <v>19.6</v>
      </c>
      <c r="P86">
        <v>97490.4</v>
      </c>
    </row>
    <row r="87" spans="1:16">
      <c r="A87" t="s">
        <v>30</v>
      </c>
      <c r="B87" s="6">
        <v>44084</v>
      </c>
      <c r="C87" t="s">
        <v>415</v>
      </c>
      <c r="D87" t="s">
        <v>42</v>
      </c>
      <c r="E87" t="s">
        <v>417</v>
      </c>
      <c r="F87" t="s">
        <v>648</v>
      </c>
      <c r="G87" t="s">
        <v>35</v>
      </c>
      <c r="H87">
        <v>3948</v>
      </c>
      <c r="J87">
        <v>15792</v>
      </c>
      <c r="K87">
        <v>14212.8</v>
      </c>
      <c r="L87" t="s">
        <v>414</v>
      </c>
      <c r="M87" t="s">
        <v>118</v>
      </c>
      <c r="N87">
        <v>3948</v>
      </c>
      <c r="O87">
        <v>93.7</v>
      </c>
      <c r="P87">
        <v>369927.6</v>
      </c>
    </row>
    <row r="88" spans="1:16">
      <c r="A88" t="s">
        <v>30</v>
      </c>
      <c r="B88" s="6">
        <v>44084</v>
      </c>
      <c r="C88" t="s">
        <v>419</v>
      </c>
      <c r="D88" t="s">
        <v>36</v>
      </c>
      <c r="E88" t="s">
        <v>421</v>
      </c>
      <c r="F88" t="s">
        <v>649</v>
      </c>
      <c r="G88" t="s">
        <v>101</v>
      </c>
      <c r="H88">
        <v>2067</v>
      </c>
      <c r="J88">
        <v>2687.1</v>
      </c>
      <c r="K88">
        <v>2391.519</v>
      </c>
      <c r="L88" t="s">
        <v>418</v>
      </c>
      <c r="M88" t="s">
        <v>112</v>
      </c>
      <c r="N88">
        <v>2067</v>
      </c>
      <c r="O88">
        <v>78.3</v>
      </c>
      <c r="P88">
        <v>161846.1</v>
      </c>
    </row>
    <row r="89" spans="1:16">
      <c r="A89" t="s">
        <v>30</v>
      </c>
      <c r="B89" s="6">
        <v>44084</v>
      </c>
      <c r="C89" t="s">
        <v>423</v>
      </c>
      <c r="D89" t="s">
        <v>28</v>
      </c>
      <c r="E89" t="s">
        <v>425</v>
      </c>
      <c r="F89" t="s">
        <v>650</v>
      </c>
      <c r="G89" t="s">
        <v>34</v>
      </c>
      <c r="H89">
        <v>1457</v>
      </c>
      <c r="J89">
        <v>5245.2</v>
      </c>
      <c r="K89">
        <v>4563.324</v>
      </c>
      <c r="L89" t="s">
        <v>422</v>
      </c>
      <c r="M89" t="s">
        <v>274</v>
      </c>
      <c r="N89">
        <v>1457</v>
      </c>
      <c r="O89">
        <v>26.6</v>
      </c>
      <c r="P89">
        <v>38756.2</v>
      </c>
    </row>
    <row r="90" spans="1:16">
      <c r="A90" t="s">
        <v>67</v>
      </c>
      <c r="B90" s="6">
        <v>44084</v>
      </c>
      <c r="C90" t="s">
        <v>427</v>
      </c>
      <c r="D90" t="s">
        <v>42</v>
      </c>
      <c r="E90" t="s">
        <v>429</v>
      </c>
      <c r="F90" t="s">
        <v>651</v>
      </c>
      <c r="G90" t="s">
        <v>105</v>
      </c>
      <c r="H90">
        <v>2583</v>
      </c>
      <c r="J90">
        <v>3357.9</v>
      </c>
      <c r="K90">
        <v>2921.373</v>
      </c>
      <c r="L90" t="s">
        <v>426</v>
      </c>
      <c r="M90" t="s">
        <v>128</v>
      </c>
      <c r="N90">
        <v>2583</v>
      </c>
      <c r="O90">
        <v>39.9</v>
      </c>
      <c r="P90">
        <v>103061.7</v>
      </c>
    </row>
    <row r="91" spans="1:16">
      <c r="A91" t="s">
        <v>67</v>
      </c>
      <c r="B91" s="6">
        <v>44084</v>
      </c>
      <c r="C91" t="s">
        <v>431</v>
      </c>
      <c r="D91" t="s">
        <v>28</v>
      </c>
      <c r="E91" t="s">
        <v>433</v>
      </c>
      <c r="F91" t="s">
        <v>652</v>
      </c>
      <c r="G91" t="s">
        <v>46</v>
      </c>
      <c r="H91">
        <v>4649</v>
      </c>
      <c r="J91">
        <v>6973.5</v>
      </c>
      <c r="K91">
        <v>5927.475</v>
      </c>
      <c r="L91" t="s">
        <v>430</v>
      </c>
      <c r="M91" t="s">
        <v>218</v>
      </c>
      <c r="N91">
        <v>4649</v>
      </c>
      <c r="O91">
        <v>28.8</v>
      </c>
      <c r="P91">
        <v>133891.2</v>
      </c>
    </row>
    <row r="92" spans="1:16">
      <c r="A92" t="s">
        <v>30</v>
      </c>
      <c r="B92" s="6">
        <v>44084</v>
      </c>
      <c r="C92" t="s">
        <v>435</v>
      </c>
      <c r="D92" t="s">
        <v>28</v>
      </c>
      <c r="E92" t="s">
        <v>437</v>
      </c>
      <c r="F92" t="s">
        <v>653</v>
      </c>
      <c r="G92" t="s">
        <v>78</v>
      </c>
      <c r="H92">
        <v>2303</v>
      </c>
      <c r="J92">
        <v>6448.4</v>
      </c>
      <c r="K92">
        <v>5739.076</v>
      </c>
      <c r="L92" t="s">
        <v>434</v>
      </c>
      <c r="M92" t="s">
        <v>172</v>
      </c>
      <c r="N92">
        <v>2303</v>
      </c>
      <c r="O92">
        <v>51.7</v>
      </c>
      <c r="P92">
        <v>119065.1</v>
      </c>
    </row>
    <row r="93" spans="1:16">
      <c r="A93" t="s">
        <v>66</v>
      </c>
      <c r="B93" s="6">
        <v>44084</v>
      </c>
      <c r="C93" t="s">
        <v>439</v>
      </c>
      <c r="D93" t="s">
        <v>36</v>
      </c>
      <c r="E93" t="s">
        <v>441</v>
      </c>
      <c r="F93" t="s">
        <v>654</v>
      </c>
      <c r="G93" t="s">
        <v>98</v>
      </c>
      <c r="H93">
        <v>2516</v>
      </c>
      <c r="J93">
        <v>9057.6</v>
      </c>
      <c r="K93">
        <v>7427.232</v>
      </c>
      <c r="L93" t="s">
        <v>438</v>
      </c>
      <c r="M93" t="s">
        <v>128</v>
      </c>
      <c r="N93">
        <v>2516</v>
      </c>
      <c r="O93">
        <v>96.3</v>
      </c>
      <c r="P93">
        <v>235497.6</v>
      </c>
    </row>
    <row r="94" spans="1:16">
      <c r="A94" t="s">
        <v>55</v>
      </c>
      <c r="B94" s="6">
        <v>44084</v>
      </c>
      <c r="C94" t="s">
        <v>443</v>
      </c>
      <c r="D94" t="s">
        <v>28</v>
      </c>
      <c r="E94" t="s">
        <v>445</v>
      </c>
      <c r="F94" t="s">
        <v>655</v>
      </c>
      <c r="G94" t="s">
        <v>103</v>
      </c>
      <c r="H94">
        <v>1104</v>
      </c>
      <c r="J94">
        <v>993.6</v>
      </c>
      <c r="K94">
        <v>854.496</v>
      </c>
      <c r="L94" t="s">
        <v>442</v>
      </c>
      <c r="M94" t="s">
        <v>199</v>
      </c>
      <c r="N94">
        <v>1104</v>
      </c>
      <c r="O94">
        <v>51.3</v>
      </c>
      <c r="P94">
        <v>56635.2</v>
      </c>
    </row>
    <row r="95" spans="1:16">
      <c r="A95" t="s">
        <v>31</v>
      </c>
      <c r="B95" s="6">
        <v>44084</v>
      </c>
      <c r="C95" t="s">
        <v>447</v>
      </c>
      <c r="D95" t="s">
        <v>42</v>
      </c>
      <c r="E95" t="s">
        <v>449</v>
      </c>
      <c r="F95" t="s">
        <v>656</v>
      </c>
      <c r="G95" t="s">
        <v>80</v>
      </c>
      <c r="H95">
        <v>1677</v>
      </c>
      <c r="J95">
        <v>2850.9</v>
      </c>
      <c r="K95">
        <v>2423.265</v>
      </c>
      <c r="L95" t="s">
        <v>446</v>
      </c>
      <c r="M95" t="s">
        <v>232</v>
      </c>
      <c r="N95">
        <v>1677</v>
      </c>
      <c r="O95">
        <v>77.2</v>
      </c>
      <c r="P95">
        <v>129464.4</v>
      </c>
    </row>
    <row r="96" spans="1:16">
      <c r="A96" t="s">
        <v>56</v>
      </c>
      <c r="B96" s="6">
        <v>44084</v>
      </c>
      <c r="C96" t="s">
        <v>447</v>
      </c>
      <c r="D96" t="s">
        <v>42</v>
      </c>
      <c r="E96" t="s">
        <v>449</v>
      </c>
      <c r="F96" t="s">
        <v>656</v>
      </c>
      <c r="G96" t="s">
        <v>80</v>
      </c>
      <c r="H96">
        <v>4027</v>
      </c>
      <c r="J96">
        <v>8054</v>
      </c>
      <c r="K96">
        <v>6604.28</v>
      </c>
      <c r="L96" t="s">
        <v>446</v>
      </c>
      <c r="M96" t="s">
        <v>274</v>
      </c>
      <c r="N96">
        <v>4027</v>
      </c>
      <c r="O96">
        <v>66.9</v>
      </c>
      <c r="P96">
        <v>269406.3</v>
      </c>
    </row>
    <row r="97" spans="1:16">
      <c r="A97" t="s">
        <v>30</v>
      </c>
      <c r="B97" s="6">
        <v>44084</v>
      </c>
      <c r="C97" t="s">
        <v>447</v>
      </c>
      <c r="D97" t="s">
        <v>42</v>
      </c>
      <c r="E97" t="s">
        <v>449</v>
      </c>
      <c r="F97" t="s">
        <v>656</v>
      </c>
      <c r="G97" t="s">
        <v>80</v>
      </c>
      <c r="H97">
        <v>3256</v>
      </c>
      <c r="J97">
        <v>5535.2</v>
      </c>
      <c r="K97">
        <v>4704.92</v>
      </c>
      <c r="L97" t="s">
        <v>446</v>
      </c>
      <c r="M97" t="s">
        <v>325</v>
      </c>
      <c r="N97">
        <v>3256</v>
      </c>
      <c r="O97">
        <v>14.9</v>
      </c>
      <c r="P97">
        <v>48514.4</v>
      </c>
    </row>
    <row r="98" spans="1:16">
      <c r="A98" t="s">
        <v>30</v>
      </c>
      <c r="B98" s="6">
        <v>44084</v>
      </c>
      <c r="C98" t="s">
        <v>451</v>
      </c>
      <c r="D98" t="s">
        <v>28</v>
      </c>
      <c r="E98" t="s">
        <v>453</v>
      </c>
      <c r="F98" t="s">
        <v>657</v>
      </c>
      <c r="G98" t="s">
        <v>53</v>
      </c>
      <c r="H98">
        <v>757</v>
      </c>
      <c r="J98">
        <v>2649.5</v>
      </c>
      <c r="K98">
        <v>2172.59</v>
      </c>
      <c r="L98" t="s">
        <v>450</v>
      </c>
      <c r="M98" t="s">
        <v>218</v>
      </c>
      <c r="N98">
        <v>757</v>
      </c>
      <c r="O98">
        <v>79</v>
      </c>
      <c r="P98">
        <v>59803</v>
      </c>
    </row>
    <row r="99" spans="1:16">
      <c r="A99" t="s">
        <v>56</v>
      </c>
      <c r="B99" s="6">
        <v>44084</v>
      </c>
      <c r="C99" t="s">
        <v>455</v>
      </c>
      <c r="D99" t="s">
        <v>42</v>
      </c>
      <c r="E99" t="s">
        <v>457</v>
      </c>
      <c r="F99" t="s">
        <v>658</v>
      </c>
      <c r="G99" t="s">
        <v>103</v>
      </c>
      <c r="H99">
        <v>3979</v>
      </c>
      <c r="J99">
        <v>8355.9</v>
      </c>
      <c r="K99">
        <v>7018.956</v>
      </c>
      <c r="L99" t="s">
        <v>454</v>
      </c>
      <c r="M99" t="s">
        <v>204</v>
      </c>
      <c r="N99">
        <v>3979</v>
      </c>
      <c r="O99">
        <v>52.3</v>
      </c>
      <c r="P99">
        <v>208101.7</v>
      </c>
    </row>
    <row r="100" spans="1:16">
      <c r="A100" t="s">
        <v>31</v>
      </c>
      <c r="B100" s="6">
        <v>44084</v>
      </c>
      <c r="C100" t="s">
        <v>459</v>
      </c>
      <c r="D100" t="s">
        <v>42</v>
      </c>
      <c r="E100" t="s">
        <v>461</v>
      </c>
      <c r="F100" t="s">
        <v>659</v>
      </c>
      <c r="G100" t="s">
        <v>35</v>
      </c>
      <c r="H100">
        <v>1733</v>
      </c>
      <c r="J100">
        <v>3466</v>
      </c>
      <c r="K100">
        <v>3050.08</v>
      </c>
      <c r="L100" t="s">
        <v>458</v>
      </c>
      <c r="M100" t="s">
        <v>189</v>
      </c>
      <c r="N100">
        <v>1733</v>
      </c>
      <c r="O100">
        <v>64.1</v>
      </c>
      <c r="P100">
        <v>111085.3</v>
      </c>
    </row>
    <row r="101" spans="1:16">
      <c r="A101" t="s">
        <v>30</v>
      </c>
      <c r="B101" s="6">
        <v>44084</v>
      </c>
      <c r="C101" t="s">
        <v>463</v>
      </c>
      <c r="D101" t="s">
        <v>28</v>
      </c>
      <c r="E101" t="s">
        <v>465</v>
      </c>
      <c r="F101" t="s">
        <v>660</v>
      </c>
      <c r="G101" t="s">
        <v>64</v>
      </c>
      <c r="H101">
        <v>1003</v>
      </c>
      <c r="J101">
        <v>802.4</v>
      </c>
      <c r="K101">
        <v>698.088</v>
      </c>
      <c r="L101" t="s">
        <v>462</v>
      </c>
      <c r="M101" t="s">
        <v>148</v>
      </c>
      <c r="N101">
        <v>1003</v>
      </c>
      <c r="O101">
        <v>6.5</v>
      </c>
      <c r="P101">
        <v>6519.5</v>
      </c>
    </row>
    <row r="102" spans="1:16">
      <c r="A102" t="s">
        <v>30</v>
      </c>
      <c r="B102" s="6">
        <v>44084</v>
      </c>
      <c r="C102" t="s">
        <v>467</v>
      </c>
      <c r="D102" t="s">
        <v>42</v>
      </c>
      <c r="E102" t="s">
        <v>469</v>
      </c>
      <c r="F102" t="s">
        <v>661</v>
      </c>
      <c r="G102" t="s">
        <v>82</v>
      </c>
      <c r="H102">
        <v>1202</v>
      </c>
      <c r="J102">
        <v>1803</v>
      </c>
      <c r="K102">
        <v>1496.49</v>
      </c>
      <c r="L102" t="s">
        <v>466</v>
      </c>
      <c r="M102" t="s">
        <v>135</v>
      </c>
      <c r="N102">
        <v>1202</v>
      </c>
      <c r="O102">
        <v>59.8</v>
      </c>
      <c r="P102">
        <v>71879.6</v>
      </c>
    </row>
    <row r="103" spans="1:16">
      <c r="A103" t="s">
        <v>30</v>
      </c>
      <c r="B103" s="6">
        <v>44084</v>
      </c>
      <c r="C103" t="s">
        <v>471</v>
      </c>
      <c r="D103" t="s">
        <v>42</v>
      </c>
      <c r="E103" t="s">
        <v>473</v>
      </c>
      <c r="F103" t="s">
        <v>662</v>
      </c>
      <c r="G103" t="s">
        <v>103</v>
      </c>
      <c r="H103">
        <v>2506</v>
      </c>
      <c r="J103">
        <v>9272.2</v>
      </c>
      <c r="K103">
        <v>7510.482</v>
      </c>
      <c r="L103" t="s">
        <v>470</v>
      </c>
      <c r="M103" t="s">
        <v>135</v>
      </c>
      <c r="N103">
        <v>2506</v>
      </c>
      <c r="O103">
        <v>63</v>
      </c>
      <c r="P103">
        <v>157878</v>
      </c>
    </row>
    <row r="104" spans="1:16">
      <c r="A104" t="s">
        <v>85</v>
      </c>
      <c r="B104" s="6">
        <v>44084</v>
      </c>
      <c r="C104" t="s">
        <v>475</v>
      </c>
      <c r="D104" t="s">
        <v>36</v>
      </c>
      <c r="E104" t="s">
        <v>663</v>
      </c>
      <c r="F104" t="s">
        <v>662</v>
      </c>
      <c r="G104" t="s">
        <v>103</v>
      </c>
      <c r="H104">
        <v>1624</v>
      </c>
      <c r="J104">
        <v>5684</v>
      </c>
      <c r="K104">
        <v>5058.76</v>
      </c>
      <c r="L104" t="s">
        <v>474</v>
      </c>
      <c r="M104" t="s">
        <v>134</v>
      </c>
      <c r="N104">
        <v>1624</v>
      </c>
      <c r="O104">
        <v>86.6</v>
      </c>
      <c r="P104">
        <v>140638.4</v>
      </c>
    </row>
    <row r="105" spans="1:16">
      <c r="A105" t="s">
        <v>85</v>
      </c>
      <c r="B105" s="6">
        <v>44084</v>
      </c>
      <c r="C105" t="s">
        <v>479</v>
      </c>
      <c r="D105" t="s">
        <v>28</v>
      </c>
      <c r="E105" t="s">
        <v>481</v>
      </c>
      <c r="F105" t="s">
        <v>664</v>
      </c>
      <c r="G105" t="s">
        <v>87</v>
      </c>
      <c r="H105">
        <v>4371</v>
      </c>
      <c r="J105">
        <v>4371</v>
      </c>
      <c r="K105">
        <v>3540.51</v>
      </c>
      <c r="L105" t="s">
        <v>478</v>
      </c>
      <c r="M105" t="s">
        <v>227</v>
      </c>
      <c r="N105">
        <v>4371</v>
      </c>
      <c r="O105">
        <v>95.4</v>
      </c>
      <c r="P105">
        <v>416993.4</v>
      </c>
    </row>
    <row r="106" spans="1:16">
      <c r="A106" t="s">
        <v>56</v>
      </c>
      <c r="B106" s="6">
        <v>44084</v>
      </c>
      <c r="C106" t="s">
        <v>483</v>
      </c>
      <c r="D106" t="s">
        <v>36</v>
      </c>
      <c r="E106" t="s">
        <v>485</v>
      </c>
      <c r="F106" t="s">
        <v>665</v>
      </c>
      <c r="G106" t="s">
        <v>35</v>
      </c>
      <c r="H106">
        <v>3848</v>
      </c>
      <c r="J106">
        <v>3848</v>
      </c>
      <c r="K106">
        <v>3232.32</v>
      </c>
      <c r="L106" t="s">
        <v>482</v>
      </c>
      <c r="M106" t="s">
        <v>274</v>
      </c>
      <c r="N106">
        <v>3848</v>
      </c>
      <c r="O106">
        <v>70</v>
      </c>
      <c r="P106">
        <v>269360</v>
      </c>
    </row>
    <row r="107" spans="1:16">
      <c r="A107" t="s">
        <v>30</v>
      </c>
      <c r="B107" s="6">
        <v>44084</v>
      </c>
      <c r="C107" t="s">
        <v>487</v>
      </c>
      <c r="D107" t="s">
        <v>36</v>
      </c>
      <c r="E107" t="s">
        <v>489</v>
      </c>
      <c r="F107" t="s">
        <v>666</v>
      </c>
      <c r="G107" t="s">
        <v>103</v>
      </c>
      <c r="H107">
        <v>2530</v>
      </c>
      <c r="J107">
        <v>8602</v>
      </c>
      <c r="K107">
        <v>7053.64</v>
      </c>
      <c r="L107" t="s">
        <v>486</v>
      </c>
      <c r="M107" t="s">
        <v>234</v>
      </c>
      <c r="N107">
        <v>2530</v>
      </c>
      <c r="O107">
        <v>84.4</v>
      </c>
      <c r="P107">
        <v>213532</v>
      </c>
    </row>
    <row r="108" spans="1:16">
      <c r="A108" t="s">
        <v>85</v>
      </c>
      <c r="B108" s="6">
        <v>44084</v>
      </c>
      <c r="C108" t="s">
        <v>491</v>
      </c>
      <c r="D108" t="s">
        <v>42</v>
      </c>
      <c r="E108" t="s">
        <v>493</v>
      </c>
      <c r="F108" t="s">
        <v>667</v>
      </c>
      <c r="G108" t="s">
        <v>96</v>
      </c>
      <c r="H108">
        <v>1937</v>
      </c>
      <c r="J108">
        <v>2518.1</v>
      </c>
      <c r="K108">
        <v>2165.566</v>
      </c>
      <c r="L108" t="s">
        <v>490</v>
      </c>
      <c r="M108" t="s">
        <v>148</v>
      </c>
      <c r="N108">
        <v>1937</v>
      </c>
      <c r="O108">
        <v>43.8</v>
      </c>
      <c r="P108">
        <v>84840.6</v>
      </c>
    </row>
    <row r="109" spans="1:16">
      <c r="A109" t="s">
        <v>66</v>
      </c>
      <c r="B109" s="6">
        <v>44084</v>
      </c>
      <c r="C109" t="s">
        <v>495</v>
      </c>
      <c r="D109" t="s">
        <v>28</v>
      </c>
      <c r="E109" t="s">
        <v>498</v>
      </c>
      <c r="F109" t="s">
        <v>668</v>
      </c>
      <c r="G109" t="s">
        <v>41</v>
      </c>
      <c r="H109">
        <v>4647</v>
      </c>
      <c r="J109">
        <v>3717.6</v>
      </c>
      <c r="K109">
        <v>3345.84</v>
      </c>
      <c r="L109" t="s">
        <v>494</v>
      </c>
      <c r="M109" t="s">
        <v>497</v>
      </c>
      <c r="N109">
        <v>4647</v>
      </c>
      <c r="O109">
        <v>33.5</v>
      </c>
      <c r="P109">
        <v>155674.5</v>
      </c>
    </row>
    <row r="110" spans="1:16">
      <c r="A110" t="s">
        <v>55</v>
      </c>
      <c r="B110" s="6">
        <v>44084</v>
      </c>
      <c r="C110" t="s">
        <v>495</v>
      </c>
      <c r="D110" t="s">
        <v>28</v>
      </c>
      <c r="E110" t="s">
        <v>498</v>
      </c>
      <c r="F110" t="s">
        <v>668</v>
      </c>
      <c r="G110" t="s">
        <v>41</v>
      </c>
      <c r="H110">
        <v>2517</v>
      </c>
      <c r="J110">
        <v>5789.1</v>
      </c>
      <c r="K110">
        <v>4689.171</v>
      </c>
      <c r="L110" t="s">
        <v>494</v>
      </c>
      <c r="M110" t="s">
        <v>134</v>
      </c>
      <c r="N110">
        <v>2517</v>
      </c>
      <c r="O110">
        <v>38.7</v>
      </c>
      <c r="P110">
        <v>97407.9</v>
      </c>
    </row>
    <row r="111" spans="1:16">
      <c r="A111" t="s">
        <v>30</v>
      </c>
      <c r="B111" s="6">
        <v>44084</v>
      </c>
      <c r="C111" t="s">
        <v>500</v>
      </c>
      <c r="D111" t="s">
        <v>42</v>
      </c>
      <c r="E111" t="s">
        <v>502</v>
      </c>
      <c r="F111" t="s">
        <v>669</v>
      </c>
      <c r="G111" t="s">
        <v>103</v>
      </c>
      <c r="H111">
        <v>4974</v>
      </c>
      <c r="J111">
        <v>2487</v>
      </c>
      <c r="K111">
        <v>2238.3</v>
      </c>
      <c r="L111" t="s">
        <v>499</v>
      </c>
      <c r="M111" t="s">
        <v>114</v>
      </c>
      <c r="N111">
        <v>4974</v>
      </c>
      <c r="O111">
        <v>83.2</v>
      </c>
      <c r="P111">
        <v>413836.8</v>
      </c>
    </row>
    <row r="112" spans="1:16">
      <c r="A112" t="s">
        <v>84</v>
      </c>
      <c r="B112" s="6">
        <v>44084</v>
      </c>
      <c r="C112" t="s">
        <v>504</v>
      </c>
      <c r="D112" t="s">
        <v>28</v>
      </c>
      <c r="E112" t="s">
        <v>506</v>
      </c>
      <c r="F112" t="s">
        <v>670</v>
      </c>
      <c r="G112" t="s">
        <v>41</v>
      </c>
      <c r="H112">
        <v>561</v>
      </c>
      <c r="J112">
        <v>224.4</v>
      </c>
      <c r="K112">
        <v>188.496</v>
      </c>
      <c r="L112" t="s">
        <v>503</v>
      </c>
      <c r="M112" t="s">
        <v>204</v>
      </c>
      <c r="N112">
        <v>561</v>
      </c>
      <c r="O112">
        <v>61.8</v>
      </c>
      <c r="P112">
        <v>34669.8</v>
      </c>
    </row>
    <row r="113" spans="1:16">
      <c r="A113" t="s">
        <v>30</v>
      </c>
      <c r="B113" s="6">
        <v>44084</v>
      </c>
      <c r="C113" t="s">
        <v>508</v>
      </c>
      <c r="D113" t="s">
        <v>28</v>
      </c>
      <c r="E113" t="s">
        <v>510</v>
      </c>
      <c r="F113" t="s">
        <v>671</v>
      </c>
      <c r="G113" t="s">
        <v>96</v>
      </c>
      <c r="H113">
        <v>4928</v>
      </c>
      <c r="J113">
        <v>5913.6</v>
      </c>
      <c r="K113">
        <v>5085.696</v>
      </c>
      <c r="L113" t="s">
        <v>507</v>
      </c>
      <c r="M113" t="s">
        <v>134</v>
      </c>
      <c r="N113">
        <v>4928</v>
      </c>
      <c r="O113">
        <v>98.9</v>
      </c>
      <c r="P113">
        <v>487379.2</v>
      </c>
    </row>
    <row r="114" spans="1:16">
      <c r="A114" t="s">
        <v>56</v>
      </c>
      <c r="B114" s="6">
        <v>44084</v>
      </c>
      <c r="C114" t="s">
        <v>512</v>
      </c>
      <c r="D114" t="s">
        <v>36</v>
      </c>
      <c r="E114" t="s">
        <v>514</v>
      </c>
      <c r="F114" t="s">
        <v>672</v>
      </c>
      <c r="G114" t="s">
        <v>61</v>
      </c>
      <c r="H114">
        <v>600</v>
      </c>
      <c r="J114">
        <v>780</v>
      </c>
      <c r="K114">
        <v>631.8</v>
      </c>
      <c r="L114" t="s">
        <v>511</v>
      </c>
      <c r="M114" t="s">
        <v>194</v>
      </c>
      <c r="N114">
        <v>600</v>
      </c>
      <c r="O114">
        <v>25.1</v>
      </c>
      <c r="P114">
        <v>15060</v>
      </c>
    </row>
    <row r="115" spans="1:16">
      <c r="A115" t="s">
        <v>30</v>
      </c>
      <c r="B115" s="6">
        <v>44084</v>
      </c>
      <c r="C115" t="s">
        <v>516</v>
      </c>
      <c r="D115" t="s">
        <v>28</v>
      </c>
      <c r="E115" t="s">
        <v>518</v>
      </c>
      <c r="F115" t="s">
        <v>673</v>
      </c>
      <c r="G115" t="s">
        <v>35</v>
      </c>
      <c r="H115">
        <v>4051</v>
      </c>
      <c r="J115">
        <v>7696.9</v>
      </c>
      <c r="K115">
        <v>6388.427</v>
      </c>
      <c r="L115" t="s">
        <v>515</v>
      </c>
      <c r="M115" t="s">
        <v>234</v>
      </c>
      <c r="N115">
        <v>4051</v>
      </c>
      <c r="O115">
        <v>51.2</v>
      </c>
      <c r="P115">
        <v>207411.2</v>
      </c>
    </row>
    <row r="116" spans="1:16">
      <c r="A116" t="s">
        <v>55</v>
      </c>
      <c r="B116" s="6">
        <v>44084</v>
      </c>
      <c r="C116" t="s">
        <v>520</v>
      </c>
      <c r="D116" t="s">
        <v>36</v>
      </c>
      <c r="E116" t="s">
        <v>522</v>
      </c>
      <c r="F116" t="s">
        <v>674</v>
      </c>
      <c r="G116" t="s">
        <v>50</v>
      </c>
      <c r="H116">
        <v>4446</v>
      </c>
      <c r="J116">
        <v>2667.6</v>
      </c>
      <c r="K116">
        <v>2294.136</v>
      </c>
      <c r="L116" t="s">
        <v>519</v>
      </c>
      <c r="M116" t="s">
        <v>232</v>
      </c>
      <c r="N116">
        <v>4446</v>
      </c>
      <c r="O116">
        <v>29.6</v>
      </c>
      <c r="P116">
        <v>131601.6</v>
      </c>
    </row>
    <row r="117" spans="1:16">
      <c r="A117" t="s">
        <v>31</v>
      </c>
      <c r="B117" s="6">
        <v>44084</v>
      </c>
      <c r="C117" t="s">
        <v>524</v>
      </c>
      <c r="D117" t="s">
        <v>36</v>
      </c>
      <c r="E117" t="s">
        <v>526</v>
      </c>
      <c r="F117" t="s">
        <v>675</v>
      </c>
      <c r="G117" t="s">
        <v>87</v>
      </c>
      <c r="H117">
        <v>2608</v>
      </c>
      <c r="J117">
        <v>6259.2</v>
      </c>
      <c r="K117">
        <v>5320.32</v>
      </c>
      <c r="L117" t="s">
        <v>523</v>
      </c>
      <c r="M117" t="s">
        <v>118</v>
      </c>
      <c r="N117">
        <v>2608</v>
      </c>
      <c r="O117">
        <v>79.6</v>
      </c>
      <c r="P117">
        <v>207596.8</v>
      </c>
    </row>
    <row r="118" spans="1:16">
      <c r="A118" t="s">
        <v>55</v>
      </c>
      <c r="B118" s="6">
        <v>44084</v>
      </c>
      <c r="C118" t="s">
        <v>528</v>
      </c>
      <c r="D118" t="s">
        <v>28</v>
      </c>
      <c r="E118" t="s">
        <v>530</v>
      </c>
      <c r="F118" t="s">
        <v>676</v>
      </c>
      <c r="G118" t="s">
        <v>50</v>
      </c>
      <c r="H118">
        <v>4275</v>
      </c>
      <c r="J118">
        <v>14107.5</v>
      </c>
      <c r="K118">
        <v>11709.225</v>
      </c>
      <c r="L118" t="s">
        <v>527</v>
      </c>
      <c r="M118" t="s">
        <v>199</v>
      </c>
      <c r="N118">
        <v>4275</v>
      </c>
      <c r="O118">
        <v>74.3</v>
      </c>
      <c r="P118">
        <v>317632.5</v>
      </c>
    </row>
    <row r="119" spans="1:16">
      <c r="A119" t="s">
        <v>55</v>
      </c>
      <c r="B119" s="6">
        <v>44084</v>
      </c>
      <c r="C119" t="s">
        <v>528</v>
      </c>
      <c r="D119" t="s">
        <v>28</v>
      </c>
      <c r="E119" t="s">
        <v>530</v>
      </c>
      <c r="F119" t="s">
        <v>676</v>
      </c>
      <c r="G119" t="s">
        <v>50</v>
      </c>
      <c r="H119">
        <v>2559</v>
      </c>
      <c r="J119">
        <v>3582.6</v>
      </c>
      <c r="K119">
        <v>2901.906</v>
      </c>
      <c r="L119" t="s">
        <v>527</v>
      </c>
      <c r="M119" t="s">
        <v>135</v>
      </c>
      <c r="N119">
        <v>2559</v>
      </c>
      <c r="O119">
        <v>80.1</v>
      </c>
      <c r="P119">
        <v>204975.9</v>
      </c>
    </row>
    <row r="120" spans="1:16">
      <c r="A120" t="s">
        <v>30</v>
      </c>
      <c r="B120" s="6">
        <v>44084</v>
      </c>
      <c r="C120" t="s">
        <v>532</v>
      </c>
      <c r="D120" t="s">
        <v>28</v>
      </c>
      <c r="E120" t="s">
        <v>534</v>
      </c>
      <c r="F120" t="s">
        <v>677</v>
      </c>
      <c r="G120" t="s">
        <v>93</v>
      </c>
      <c r="H120">
        <v>726</v>
      </c>
      <c r="J120">
        <v>2904</v>
      </c>
      <c r="K120">
        <v>2468.4</v>
      </c>
      <c r="L120" t="s">
        <v>531</v>
      </c>
      <c r="M120" t="s">
        <v>172</v>
      </c>
      <c r="N120">
        <v>726</v>
      </c>
      <c r="O120">
        <v>64.6</v>
      </c>
      <c r="P120">
        <v>46899.6</v>
      </c>
    </row>
    <row r="121" spans="1:16">
      <c r="A121" t="s">
        <v>85</v>
      </c>
      <c r="B121" s="6">
        <v>44084</v>
      </c>
      <c r="C121" t="s">
        <v>536</v>
      </c>
      <c r="D121" t="s">
        <v>36</v>
      </c>
      <c r="E121" t="s">
        <v>538</v>
      </c>
      <c r="F121" t="s">
        <v>678</v>
      </c>
      <c r="G121" t="s">
        <v>103</v>
      </c>
      <c r="H121">
        <v>2055</v>
      </c>
      <c r="J121">
        <v>4932</v>
      </c>
      <c r="K121">
        <v>4290.84</v>
      </c>
      <c r="L121" t="s">
        <v>535</v>
      </c>
      <c r="M121" t="s">
        <v>112</v>
      </c>
      <c r="N121">
        <v>2055</v>
      </c>
      <c r="O121">
        <v>40.4</v>
      </c>
      <c r="P121">
        <v>83022</v>
      </c>
    </row>
    <row r="122" spans="1:16">
      <c r="A122" t="s">
        <v>55</v>
      </c>
      <c r="B122" s="6">
        <v>44084</v>
      </c>
      <c r="C122" t="s">
        <v>540</v>
      </c>
      <c r="D122" t="s">
        <v>28</v>
      </c>
      <c r="E122" t="s">
        <v>542</v>
      </c>
      <c r="F122" t="s">
        <v>679</v>
      </c>
      <c r="G122" t="s">
        <v>50</v>
      </c>
      <c r="H122">
        <v>2874</v>
      </c>
      <c r="J122">
        <v>4885.8</v>
      </c>
      <c r="K122">
        <v>4299.504</v>
      </c>
      <c r="L122" t="s">
        <v>539</v>
      </c>
      <c r="M122" t="s">
        <v>153</v>
      </c>
      <c r="N122">
        <v>2874</v>
      </c>
      <c r="O122">
        <v>7.2</v>
      </c>
      <c r="P122">
        <v>20692.8</v>
      </c>
    </row>
    <row r="123" spans="1:16">
      <c r="A123" t="s">
        <v>84</v>
      </c>
      <c r="B123" s="6">
        <v>44084</v>
      </c>
      <c r="C123" t="s">
        <v>544</v>
      </c>
      <c r="D123" t="s">
        <v>28</v>
      </c>
      <c r="E123" t="s">
        <v>546</v>
      </c>
      <c r="F123" t="s">
        <v>680</v>
      </c>
      <c r="G123" t="s">
        <v>78</v>
      </c>
      <c r="H123">
        <v>2255</v>
      </c>
      <c r="J123">
        <v>8794.5</v>
      </c>
      <c r="K123">
        <v>7387.38</v>
      </c>
      <c r="L123" t="s">
        <v>543</v>
      </c>
      <c r="M123" t="s">
        <v>315</v>
      </c>
      <c r="N123">
        <v>2255</v>
      </c>
      <c r="O123">
        <v>76.4</v>
      </c>
      <c r="P123">
        <v>172282</v>
      </c>
    </row>
    <row r="124" spans="1:16">
      <c r="A124" t="s">
        <v>85</v>
      </c>
      <c r="B124" s="6">
        <v>44084</v>
      </c>
      <c r="C124" t="s">
        <v>548</v>
      </c>
      <c r="D124" t="s">
        <v>42</v>
      </c>
      <c r="E124" t="s">
        <v>550</v>
      </c>
      <c r="F124" t="s">
        <v>681</v>
      </c>
      <c r="G124" t="s">
        <v>69</v>
      </c>
      <c r="H124">
        <v>3863</v>
      </c>
      <c r="J124">
        <v>9657.5</v>
      </c>
      <c r="K124">
        <v>8402.025</v>
      </c>
      <c r="L124" t="s">
        <v>547</v>
      </c>
      <c r="M124" t="s">
        <v>112</v>
      </c>
      <c r="N124">
        <v>3863</v>
      </c>
      <c r="O124">
        <v>57.3</v>
      </c>
      <c r="P124">
        <v>221349.9</v>
      </c>
    </row>
    <row r="125" spans="1:16">
      <c r="A125" t="s">
        <v>85</v>
      </c>
      <c r="B125" s="6">
        <v>44084</v>
      </c>
      <c r="C125" t="s">
        <v>552</v>
      </c>
      <c r="D125" t="s">
        <v>28</v>
      </c>
      <c r="E125" t="s">
        <v>554</v>
      </c>
      <c r="F125" t="s">
        <v>682</v>
      </c>
      <c r="G125" t="s">
        <v>110</v>
      </c>
      <c r="H125">
        <v>3116</v>
      </c>
      <c r="J125">
        <v>11217.6</v>
      </c>
      <c r="K125">
        <v>9422.784</v>
      </c>
      <c r="L125" t="s">
        <v>551</v>
      </c>
      <c r="M125" t="s">
        <v>172</v>
      </c>
      <c r="N125">
        <v>3116</v>
      </c>
      <c r="O125">
        <v>19</v>
      </c>
      <c r="P125">
        <v>59204</v>
      </c>
    </row>
    <row r="126" spans="1:16">
      <c r="A126" t="s">
        <v>67</v>
      </c>
      <c r="B126" s="6">
        <v>44084</v>
      </c>
      <c r="C126" t="s">
        <v>556</v>
      </c>
      <c r="D126" t="s">
        <v>36</v>
      </c>
      <c r="E126" t="s">
        <v>558</v>
      </c>
      <c r="F126" t="s">
        <v>683</v>
      </c>
      <c r="G126" t="s">
        <v>93</v>
      </c>
      <c r="H126">
        <v>3053</v>
      </c>
      <c r="J126">
        <v>3053</v>
      </c>
      <c r="K126">
        <v>2717.17</v>
      </c>
      <c r="L126" t="s">
        <v>555</v>
      </c>
      <c r="M126" t="s">
        <v>139</v>
      </c>
      <c r="N126">
        <v>3053</v>
      </c>
      <c r="O126">
        <v>16.1</v>
      </c>
      <c r="P126">
        <v>35414.8</v>
      </c>
    </row>
    <row r="127" spans="1:16">
      <c r="A127" t="s">
        <v>31</v>
      </c>
      <c r="B127" s="6">
        <v>44084</v>
      </c>
      <c r="C127" t="s">
        <v>560</v>
      </c>
      <c r="D127" t="s">
        <v>28</v>
      </c>
      <c r="E127" t="s">
        <v>562</v>
      </c>
      <c r="F127" t="s">
        <v>684</v>
      </c>
      <c r="G127" t="s">
        <v>27</v>
      </c>
      <c r="H127">
        <v>4562</v>
      </c>
      <c r="J127">
        <v>13686</v>
      </c>
      <c r="K127">
        <v>12043.68</v>
      </c>
      <c r="L127" t="s">
        <v>559</v>
      </c>
      <c r="M127" t="s">
        <v>114</v>
      </c>
      <c r="N127">
        <v>4562</v>
      </c>
      <c r="O127">
        <v>19.6</v>
      </c>
      <c r="P127">
        <v>89415.2</v>
      </c>
    </row>
  </sheetData>
  <autoFilter ref="A1:P127">
    <extLst/>
  </autoFilter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topLeftCell="A4" workbookViewId="0">
      <selection activeCell="G13" sqref="G13"/>
    </sheetView>
  </sheetViews>
  <sheetFormatPr defaultColWidth="9" defaultRowHeight="13.8"/>
  <cols>
    <col min="1" max="1" width="11" customWidth="1"/>
    <col min="2" max="2" width="23.8796296296296" customWidth="1"/>
    <col min="5" max="5" width="13" customWidth="1"/>
    <col min="6" max="6" width="11" customWidth="1"/>
    <col min="7" max="7" width="9.5" customWidth="1"/>
    <col min="8" max="9" width="11" customWidth="1"/>
    <col min="10" max="12" width="13" customWidth="1"/>
    <col min="13" max="14" width="11" customWidth="1"/>
    <col min="15" max="16" width="7.75" customWidth="1"/>
  </cols>
  <sheetData>
    <row r="1" spans="1:1">
      <c r="A1" t="s">
        <v>685</v>
      </c>
    </row>
    <row r="2" spans="1:16">
      <c r="A2" t="s">
        <v>579</v>
      </c>
      <c r="B2" t="s">
        <v>580</v>
      </c>
      <c r="C2" t="s">
        <v>581</v>
      </c>
      <c r="D2" t="s">
        <v>17</v>
      </c>
      <c r="E2" t="s">
        <v>18</v>
      </c>
      <c r="F2" t="s">
        <v>574</v>
      </c>
      <c r="G2" t="s">
        <v>563</v>
      </c>
      <c r="H2" t="s">
        <v>12</v>
      </c>
      <c r="I2" t="s">
        <v>582</v>
      </c>
      <c r="J2" s="2" t="s">
        <v>569</v>
      </c>
      <c r="K2" s="2" t="s">
        <v>570</v>
      </c>
      <c r="L2" s="3" t="s">
        <v>2</v>
      </c>
      <c r="M2" s="4" t="s">
        <v>8</v>
      </c>
      <c r="N2" s="5" t="s">
        <v>9</v>
      </c>
      <c r="O2" s="5" t="s">
        <v>10</v>
      </c>
      <c r="P2" s="5" t="s">
        <v>11</v>
      </c>
    </row>
    <row r="4" spans="1:1">
      <c r="A4" t="s">
        <v>686</v>
      </c>
    </row>
    <row r="5" spans="1:12">
      <c r="A5" t="s">
        <v>0</v>
      </c>
      <c r="B5" t="s">
        <v>1</v>
      </c>
      <c r="C5" s="1" t="s">
        <v>2</v>
      </c>
      <c r="D5" t="s">
        <v>3</v>
      </c>
      <c r="E5" t="s">
        <v>4</v>
      </c>
      <c r="F5" t="s">
        <v>5</v>
      </c>
      <c r="G5" t="s">
        <v>6</v>
      </c>
      <c r="H5" t="s">
        <v>563</v>
      </c>
      <c r="I5" s="5" t="s">
        <v>8</v>
      </c>
      <c r="J5" s="5" t="s">
        <v>9</v>
      </c>
      <c r="K5" s="5" t="s">
        <v>10</v>
      </c>
      <c r="L5" s="5" t="s">
        <v>11</v>
      </c>
    </row>
    <row r="7" spans="1:1">
      <c r="A7" t="s">
        <v>687</v>
      </c>
    </row>
    <row r="8" spans="1:12">
      <c r="A8" t="s">
        <v>564</v>
      </c>
      <c r="B8" t="s">
        <v>565</v>
      </c>
      <c r="C8" t="s">
        <v>1</v>
      </c>
      <c r="D8" t="s">
        <v>566</v>
      </c>
      <c r="E8" t="s">
        <v>567</v>
      </c>
      <c r="F8" t="s">
        <v>568</v>
      </c>
      <c r="G8" s="2" t="s">
        <v>2</v>
      </c>
      <c r="H8" s="2" t="s">
        <v>8</v>
      </c>
      <c r="I8" t="s">
        <v>12</v>
      </c>
      <c r="J8" s="2" t="s">
        <v>569</v>
      </c>
      <c r="K8" s="2" t="s">
        <v>570</v>
      </c>
      <c r="L8" t="s">
        <v>571</v>
      </c>
    </row>
    <row r="10" spans="1:1">
      <c r="A10" t="s">
        <v>688</v>
      </c>
    </row>
    <row r="11" spans="1:15">
      <c r="A11" t="s">
        <v>573</v>
      </c>
      <c r="B11" t="s">
        <v>574</v>
      </c>
      <c r="C11" t="s">
        <v>1</v>
      </c>
      <c r="D11" t="s">
        <v>2</v>
      </c>
      <c r="E11" t="s">
        <v>575</v>
      </c>
      <c r="F11" t="s">
        <v>9</v>
      </c>
      <c r="G11" t="s">
        <v>569</v>
      </c>
      <c r="H11" t="s">
        <v>570</v>
      </c>
      <c r="I11" t="s">
        <v>571</v>
      </c>
      <c r="J11" t="s">
        <v>16</v>
      </c>
      <c r="K11" t="s">
        <v>17</v>
      </c>
      <c r="L11" t="s">
        <v>18</v>
      </c>
      <c r="M11" t="s">
        <v>576</v>
      </c>
      <c r="N11" t="s">
        <v>577</v>
      </c>
      <c r="O11" t="s">
        <v>19</v>
      </c>
    </row>
    <row r="15" spans="2:2">
      <c r="B15" t="s">
        <v>689</v>
      </c>
    </row>
    <row r="16" spans="2:2">
      <c r="B16" t="s">
        <v>690</v>
      </c>
    </row>
    <row r="17" spans="2:18">
      <c r="B17" t="s">
        <v>691</v>
      </c>
      <c r="Q17" t="s">
        <v>692</v>
      </c>
      <c r="R17" t="s">
        <v>693</v>
      </c>
    </row>
    <row r="18" spans="17:18">
      <c r="Q18" t="s">
        <v>694</v>
      </c>
      <c r="R18" t="s">
        <v>695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造数据过程</vt:lpstr>
      <vt:lpstr>待匹配数据</vt:lpstr>
      <vt:lpstr>发票</vt:lpstr>
      <vt:lpstr>装箱单</vt:lpstr>
      <vt:lpstr>提运单</vt:lpstr>
      <vt:lpstr>报关复核表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梦马</cp:lastModifiedBy>
  <dcterms:created xsi:type="dcterms:W3CDTF">2015-06-05T18:19:00Z</dcterms:created>
  <dcterms:modified xsi:type="dcterms:W3CDTF">2022-12-09T08:50:44Z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74e60c85-efa7-4958-a7b3-7997d4e9eb40</vt:lpwstr>
  </property>
  <property fmtid="{D5CDD505-2E9C-101B-9397-08002B2CF9AE}" pid="3" name="ICV">
    <vt:lpwstr>43F0AB2CA8474588B0AC0DC9555B95E0</vt:lpwstr>
  </property>
  <property fmtid="{D5CDD505-2E9C-101B-9397-08002B2CF9AE}" pid="4" name="KSOProductBuildVer">
    <vt:lpwstr>2052-11.1.0.12598</vt:lpwstr>
  </property>
</Properties>
</file>