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498208A-DF6E-4ADE-A0D2-D36CDDB37615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造数据" sheetId="1" r:id="rId1"/>
    <sheet name="源数据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2" i="1"/>
  <c r="C3" i="1" a="1"/>
  <c r="C7" i="1" a="1"/>
  <c r="C11" i="1" a="1"/>
  <c r="C15" i="1" a="1"/>
  <c r="C19" i="1" a="1"/>
  <c r="C23" i="1" a="1"/>
  <c r="C27" i="1" a="1"/>
  <c r="C31" i="1" a="1"/>
  <c r="C35" i="1" a="1"/>
  <c r="C39" i="1" a="1"/>
  <c r="C43" i="1" a="1"/>
  <c r="C47" i="1" a="1"/>
  <c r="C51" i="1" a="1"/>
  <c r="C55" i="1" a="1"/>
  <c r="C59" i="1" a="1"/>
  <c r="C63" i="1" a="1"/>
  <c r="C67" i="1" a="1"/>
  <c r="C71" i="1" a="1"/>
  <c r="C75" i="1" a="1"/>
  <c r="C79" i="1" a="1"/>
  <c r="C83" i="1" a="1"/>
  <c r="C87" i="1" a="1"/>
  <c r="C91" i="1" a="1"/>
  <c r="C95" i="1" a="1"/>
  <c r="C99" i="1" a="1"/>
  <c r="C103" i="1" a="1"/>
  <c r="C107" i="1" a="1"/>
  <c r="C111" i="1" a="1"/>
  <c r="C115" i="1" a="1"/>
  <c r="C119" i="1" a="1"/>
  <c r="C123" i="1" a="1"/>
  <c r="C4" i="1" a="1"/>
  <c r="C8" i="1" a="1"/>
  <c r="C12" i="1" a="1"/>
  <c r="C16" i="1" a="1"/>
  <c r="C20" i="1" a="1"/>
  <c r="C24" i="1" a="1"/>
  <c r="C28" i="1" a="1"/>
  <c r="C32" i="1" a="1"/>
  <c r="C36" i="1" a="1"/>
  <c r="C40" i="1" a="1"/>
  <c r="C44" i="1" a="1"/>
  <c r="C48" i="1" a="1"/>
  <c r="C52" i="1" a="1"/>
  <c r="C56" i="1" a="1"/>
  <c r="C60" i="1" a="1"/>
  <c r="C64" i="1" a="1"/>
  <c r="C68" i="1" a="1"/>
  <c r="C72" i="1" a="1"/>
  <c r="C76" i="1" a="1"/>
  <c r="C80" i="1" a="1"/>
  <c r="C84" i="1" a="1"/>
  <c r="C88" i="1" a="1"/>
  <c r="C92" i="1" a="1"/>
  <c r="C96" i="1" a="1"/>
  <c r="C100" i="1" a="1"/>
  <c r="C104" i="1" a="1"/>
  <c r="C108" i="1" a="1"/>
  <c r="C112" i="1" a="1"/>
  <c r="C116" i="1" a="1"/>
  <c r="C120" i="1" a="1"/>
  <c r="C124" i="1" a="1"/>
  <c r="C125" i="1" a="1"/>
  <c r="C5" i="1" a="1"/>
  <c r="C9" i="1" a="1"/>
  <c r="C13" i="1" a="1"/>
  <c r="C17" i="1" a="1"/>
  <c r="C21" i="1" a="1"/>
  <c r="C25" i="1" a="1"/>
  <c r="C29" i="1" a="1"/>
  <c r="C33" i="1" a="1"/>
  <c r="C37" i="1" a="1"/>
  <c r="C41" i="1" a="1"/>
  <c r="C45" i="1" a="1"/>
  <c r="C49" i="1" a="1"/>
  <c r="C53" i="1" a="1"/>
  <c r="C57" i="1" a="1"/>
  <c r="C61" i="1" a="1"/>
  <c r="C65" i="1" a="1"/>
  <c r="C69" i="1" a="1"/>
  <c r="C73" i="1" a="1"/>
  <c r="C77" i="1" a="1"/>
  <c r="C81" i="1" a="1"/>
  <c r="C85" i="1" a="1"/>
  <c r="C89" i="1" a="1"/>
  <c r="C93" i="1" a="1"/>
  <c r="C97" i="1" a="1"/>
  <c r="C101" i="1" a="1"/>
  <c r="C105" i="1" a="1"/>
  <c r="C109" i="1" a="1"/>
  <c r="C113" i="1" a="1"/>
  <c r="C117" i="1" a="1"/>
  <c r="C121" i="1" a="1"/>
  <c r="C6" i="1" a="1"/>
  <c r="C10" i="1" a="1"/>
  <c r="C14" i="1" a="1"/>
  <c r="C18" i="1" a="1"/>
  <c r="C22" i="1" a="1"/>
  <c r="C26" i="1" a="1"/>
  <c r="C30" i="1" a="1"/>
  <c r="C34" i="1" a="1"/>
  <c r="C38" i="1" a="1"/>
  <c r="C42" i="1" a="1"/>
  <c r="C46" i="1" a="1"/>
  <c r="C50" i="1" a="1"/>
  <c r="C54" i="1" a="1"/>
  <c r="C58" i="1" a="1"/>
  <c r="C62" i="1" a="1"/>
  <c r="C66" i="1" a="1"/>
  <c r="C70" i="1" a="1"/>
  <c r="C74" i="1" a="1"/>
  <c r="C78" i="1" a="1"/>
  <c r="C82" i="1" a="1"/>
  <c r="C86" i="1" a="1"/>
  <c r="C90" i="1" a="1"/>
  <c r="C94" i="1" a="1"/>
  <c r="C98" i="1" a="1"/>
  <c r="C102" i="1" a="1"/>
  <c r="C106" i="1" a="1"/>
  <c r="C110" i="1" a="1"/>
  <c r="C114" i="1" a="1"/>
  <c r="C118" i="1" a="1"/>
  <c r="C122" i="1" a="1"/>
  <c r="C2" i="1" a="1"/>
  <c r="B3" i="1" a="1"/>
  <c r="B7" i="1" a="1"/>
  <c r="B11" i="1" a="1"/>
  <c r="B15" i="1" a="1"/>
  <c r="B19" i="1" a="1"/>
  <c r="B23" i="1" a="1"/>
  <c r="B27" i="1" a="1"/>
  <c r="B31" i="1" a="1"/>
  <c r="B35" i="1" a="1"/>
  <c r="B39" i="1" a="1"/>
  <c r="B43" i="1" a="1"/>
  <c r="B47" i="1" a="1"/>
  <c r="B51" i="1" a="1"/>
  <c r="B55" i="1" a="1"/>
  <c r="B59" i="1" a="1"/>
  <c r="B63" i="1" a="1"/>
  <c r="B67" i="1" a="1"/>
  <c r="B71" i="1" a="1"/>
  <c r="B75" i="1" a="1"/>
  <c r="B79" i="1" a="1"/>
  <c r="B83" i="1" a="1"/>
  <c r="B87" i="1" a="1"/>
  <c r="B91" i="1" a="1"/>
  <c r="B95" i="1" a="1"/>
  <c r="B99" i="1" a="1"/>
  <c r="B103" i="1" a="1"/>
  <c r="B107" i="1" a="1"/>
  <c r="B111" i="1" a="1"/>
  <c r="B115" i="1" a="1"/>
  <c r="B119" i="1" a="1"/>
  <c r="B123" i="1" a="1"/>
  <c r="B4" i="1" a="1"/>
  <c r="B8" i="1" a="1"/>
  <c r="B12" i="1" a="1"/>
  <c r="B16" i="1" a="1"/>
  <c r="B20" i="1" a="1"/>
  <c r="B24" i="1" a="1"/>
  <c r="B28" i="1" a="1"/>
  <c r="B32" i="1" a="1"/>
  <c r="B36" i="1" a="1"/>
  <c r="B40" i="1" a="1"/>
  <c r="B44" i="1" a="1"/>
  <c r="B48" i="1" a="1"/>
  <c r="B52" i="1" a="1"/>
  <c r="B56" i="1" a="1"/>
  <c r="B60" i="1" a="1"/>
  <c r="B64" i="1" a="1"/>
  <c r="B68" i="1" a="1"/>
  <c r="B72" i="1" a="1"/>
  <c r="B76" i="1" a="1"/>
  <c r="B80" i="1" a="1"/>
  <c r="B84" i="1" a="1"/>
  <c r="B88" i="1" a="1"/>
  <c r="B92" i="1" a="1"/>
  <c r="B96" i="1" a="1"/>
  <c r="B100" i="1" a="1"/>
  <c r="B104" i="1" a="1"/>
  <c r="B108" i="1" a="1"/>
  <c r="B112" i="1" a="1"/>
  <c r="B116" i="1" a="1"/>
  <c r="B120" i="1" a="1"/>
  <c r="B124" i="1" a="1"/>
  <c r="B5" i="1" a="1"/>
  <c r="B9" i="1" a="1"/>
  <c r="B13" i="1" a="1"/>
  <c r="B17" i="1" a="1"/>
  <c r="B21" i="1" a="1"/>
  <c r="B25" i="1" a="1"/>
  <c r="B29" i="1" a="1"/>
  <c r="B33" i="1" a="1"/>
  <c r="B37" i="1" a="1"/>
  <c r="B41" i="1" a="1"/>
  <c r="B45" i="1" a="1"/>
  <c r="B49" i="1" a="1"/>
  <c r="B53" i="1" a="1"/>
  <c r="B57" i="1" a="1"/>
  <c r="B61" i="1" a="1"/>
  <c r="B65" i="1" a="1"/>
  <c r="B69" i="1" a="1"/>
  <c r="B73" i="1" a="1"/>
  <c r="B77" i="1" a="1"/>
  <c r="B81" i="1" a="1"/>
  <c r="B85" i="1" a="1"/>
  <c r="B89" i="1" a="1"/>
  <c r="B93" i="1" a="1"/>
  <c r="B97" i="1" a="1"/>
  <c r="B101" i="1" a="1"/>
  <c r="B105" i="1" a="1"/>
  <c r="B109" i="1" a="1"/>
  <c r="B113" i="1" a="1"/>
  <c r="B117" i="1" a="1"/>
  <c r="B121" i="1" a="1"/>
  <c r="B125" i="1" a="1"/>
  <c r="B6" i="1" a="1"/>
  <c r="B10" i="1" a="1"/>
  <c r="B14" i="1" a="1"/>
  <c r="B18" i="1" a="1"/>
  <c r="B22" i="1" a="1"/>
  <c r="B26" i="1" a="1"/>
  <c r="B30" i="1" a="1"/>
  <c r="B34" i="1" a="1"/>
  <c r="B38" i="1" a="1"/>
  <c r="B42" i="1" a="1"/>
  <c r="B46" i="1" a="1"/>
  <c r="B50" i="1" a="1"/>
  <c r="B54" i="1" a="1"/>
  <c r="B58" i="1" a="1"/>
  <c r="B62" i="1" a="1"/>
  <c r="B66" i="1" a="1"/>
  <c r="B70" i="1" a="1"/>
  <c r="B74" i="1" a="1"/>
  <c r="B78" i="1" a="1"/>
  <c r="B82" i="1" a="1"/>
  <c r="B86" i="1" a="1"/>
  <c r="B90" i="1" a="1"/>
  <c r="B94" i="1" a="1"/>
  <c r="B98" i="1" a="1"/>
  <c r="B102" i="1" a="1"/>
  <c r="B106" i="1" a="1"/>
  <c r="B110" i="1" a="1"/>
  <c r="B114" i="1" a="1"/>
  <c r="B118" i="1" a="1"/>
  <c r="B122" i="1" a="1"/>
  <c r="B2" i="1" a="1"/>
  <c r="G8" i="1" a="1"/>
  <c r="G16" i="1" a="1"/>
  <c r="G24" i="1" a="1"/>
  <c r="G32" i="1" a="1"/>
  <c r="G40" i="1" a="1"/>
  <c r="G48" i="1" a="1"/>
  <c r="G56" i="1" a="1"/>
  <c r="G64" i="1" a="1"/>
  <c r="G72" i="1" a="1"/>
  <c r="G80" i="1" a="1"/>
  <c r="G88" i="1" a="1"/>
  <c r="G96" i="1" a="1"/>
  <c r="G104" i="1" a="1"/>
  <c r="G112" i="1" a="1"/>
  <c r="G120" i="1" a="1"/>
  <c r="G37" i="1" a="1"/>
  <c r="G69" i="1" a="1"/>
  <c r="G125" i="1" a="1"/>
  <c r="G3" i="1" a="1"/>
  <c r="G11" i="1" a="1"/>
  <c r="G19" i="1" a="1"/>
  <c r="G27" i="1" a="1"/>
  <c r="G35" i="1" a="1"/>
  <c r="G43" i="1" a="1"/>
  <c r="G51" i="1" a="1"/>
  <c r="G59" i="1" a="1"/>
  <c r="G67" i="1" a="1"/>
  <c r="G75" i="1" a="1"/>
  <c r="G83" i="1" a="1"/>
  <c r="G91" i="1" a="1"/>
  <c r="G99" i="1" a="1"/>
  <c r="G107" i="1" a="1"/>
  <c r="G115" i="1" a="1"/>
  <c r="G123" i="1" a="1"/>
  <c r="G13" i="1" a="1"/>
  <c r="G101" i="1" a="1"/>
  <c r="G6" i="1" a="1"/>
  <c r="G14" i="1" a="1"/>
  <c r="G22" i="1" a="1"/>
  <c r="G30" i="1" a="1"/>
  <c r="G38" i="1" a="1"/>
  <c r="G46" i="1" a="1"/>
  <c r="G54" i="1" a="1"/>
  <c r="G62" i="1" a="1"/>
  <c r="G70" i="1" a="1"/>
  <c r="G78" i="1" a="1"/>
  <c r="G86" i="1" a="1"/>
  <c r="G94" i="1" a="1"/>
  <c r="G102" i="1" a="1"/>
  <c r="G110" i="1" a="1"/>
  <c r="G118" i="1" a="1"/>
  <c r="G5" i="1" a="1"/>
  <c r="G9" i="1" a="1"/>
  <c r="G17" i="1" a="1"/>
  <c r="G25" i="1" a="1"/>
  <c r="G33" i="1" a="1"/>
  <c r="G41" i="1" a="1"/>
  <c r="G49" i="1" a="1"/>
  <c r="G57" i="1" a="1"/>
  <c r="G65" i="1" a="1"/>
  <c r="G73" i="1" a="1"/>
  <c r="G81" i="1" a="1"/>
  <c r="G89" i="1" a="1"/>
  <c r="G97" i="1" a="1"/>
  <c r="G105" i="1" a="1"/>
  <c r="G113" i="1" a="1"/>
  <c r="G121" i="1" a="1"/>
  <c r="G77" i="1" a="1"/>
  <c r="G4" i="1" a="1"/>
  <c r="G12" i="1" a="1"/>
  <c r="G20" i="1" a="1"/>
  <c r="G28" i="1" a="1"/>
  <c r="G36" i="1" a="1"/>
  <c r="G44" i="1" a="1"/>
  <c r="G52" i="1" a="1"/>
  <c r="G60" i="1" a="1"/>
  <c r="G68" i="1" a="1"/>
  <c r="G76" i="1" a="1"/>
  <c r="G84" i="1" a="1"/>
  <c r="G92" i="1" a="1"/>
  <c r="G100" i="1" a="1"/>
  <c r="G108" i="1" a="1"/>
  <c r="G116" i="1" a="1"/>
  <c r="G124" i="1" a="1"/>
  <c r="G29" i="1" a="1"/>
  <c r="G61" i="1" a="1"/>
  <c r="G93" i="1" a="1"/>
  <c r="G7" i="1" a="1"/>
  <c r="G15" i="1" a="1"/>
  <c r="G23" i="1" a="1"/>
  <c r="G31" i="1" a="1"/>
  <c r="G39" i="1" a="1"/>
  <c r="G47" i="1" a="1"/>
  <c r="G55" i="1" a="1"/>
  <c r="G63" i="1" a="1"/>
  <c r="G71" i="1" a="1"/>
  <c r="G79" i="1" a="1"/>
  <c r="G87" i="1" a="1"/>
  <c r="G95" i="1" a="1"/>
  <c r="G103" i="1" a="1"/>
  <c r="G111" i="1" a="1"/>
  <c r="G119" i="1" a="1"/>
  <c r="G21" i="1" a="1"/>
  <c r="G45" i="1" a="1"/>
  <c r="G117" i="1" a="1"/>
  <c r="G10" i="1" a="1"/>
  <c r="G18" i="1" a="1"/>
  <c r="G26" i="1" a="1"/>
  <c r="G34" i="1" a="1"/>
  <c r="G42" i="1" a="1"/>
  <c r="G50" i="1" a="1"/>
  <c r="G58" i="1" a="1"/>
  <c r="G66" i="1" a="1"/>
  <c r="G74" i="1" a="1"/>
  <c r="G82" i="1" a="1"/>
  <c r="G90" i="1" a="1"/>
  <c r="G98" i="1" a="1"/>
  <c r="G106" i="1" a="1"/>
  <c r="G114" i="1" a="1"/>
  <c r="G122" i="1" a="1"/>
  <c r="G53" i="1" a="1"/>
  <c r="G85" i="1" a="1"/>
  <c r="G109" i="1" a="1"/>
  <c r="G2" i="1" a="1"/>
  <c r="C122" i="1" l="1"/>
  <c r="C118" i="1"/>
  <c r="C114" i="1"/>
  <c r="C110" i="1"/>
  <c r="C106" i="1"/>
  <c r="C102" i="1"/>
  <c r="C98" i="1"/>
  <c r="C94" i="1"/>
  <c r="C90" i="1"/>
  <c r="C86" i="1"/>
  <c r="C82" i="1"/>
  <c r="C78" i="1"/>
  <c r="C74" i="1"/>
  <c r="C70" i="1"/>
  <c r="C66" i="1"/>
  <c r="C62" i="1"/>
  <c r="C58" i="1"/>
  <c r="C54" i="1"/>
  <c r="C50" i="1"/>
  <c r="C46" i="1"/>
  <c r="C42" i="1"/>
  <c r="C38" i="1"/>
  <c r="C34" i="1"/>
  <c r="C30" i="1"/>
  <c r="C26" i="1"/>
  <c r="C22" i="1"/>
  <c r="C18" i="1"/>
  <c r="C14" i="1"/>
  <c r="C10" i="1"/>
  <c r="C6" i="1"/>
  <c r="C121" i="1"/>
  <c r="C117" i="1"/>
  <c r="C113" i="1"/>
  <c r="C109" i="1"/>
  <c r="C105" i="1"/>
  <c r="C101" i="1"/>
  <c r="C97" i="1"/>
  <c r="C93" i="1"/>
  <c r="C89" i="1"/>
  <c r="C85" i="1"/>
  <c r="C81" i="1"/>
  <c r="C77" i="1"/>
  <c r="C73" i="1"/>
  <c r="C69" i="1"/>
  <c r="C65" i="1"/>
  <c r="C61" i="1"/>
  <c r="C57" i="1"/>
  <c r="C53" i="1"/>
  <c r="C49" i="1"/>
  <c r="C45" i="1"/>
  <c r="C41" i="1"/>
  <c r="C37" i="1"/>
  <c r="C33" i="1"/>
  <c r="C29" i="1"/>
  <c r="C25" i="1"/>
  <c r="C21" i="1"/>
  <c r="C17" i="1"/>
  <c r="C13" i="1"/>
  <c r="C9" i="1"/>
  <c r="C5" i="1"/>
  <c r="C125" i="1"/>
  <c r="C124" i="1"/>
  <c r="C120" i="1"/>
  <c r="C116" i="1"/>
  <c r="C112" i="1"/>
  <c r="C108" i="1"/>
  <c r="C104" i="1"/>
  <c r="C100" i="1"/>
  <c r="C96" i="1"/>
  <c r="C92" i="1"/>
  <c r="C88" i="1"/>
  <c r="C84" i="1"/>
  <c r="C80" i="1"/>
  <c r="C76" i="1"/>
  <c r="C72" i="1"/>
  <c r="C68" i="1"/>
  <c r="C64" i="1"/>
  <c r="C60" i="1"/>
  <c r="C56" i="1"/>
  <c r="C52" i="1"/>
  <c r="C48" i="1"/>
  <c r="C44" i="1"/>
  <c r="C40" i="1"/>
  <c r="C36" i="1"/>
  <c r="C32" i="1"/>
  <c r="C28" i="1"/>
  <c r="C24" i="1"/>
  <c r="C20" i="1"/>
  <c r="C16" i="1"/>
  <c r="C12" i="1"/>
  <c r="C8" i="1"/>
  <c r="C4" i="1"/>
  <c r="C123" i="1"/>
  <c r="C119" i="1"/>
  <c r="C115" i="1"/>
  <c r="C111" i="1"/>
  <c r="C107" i="1"/>
  <c r="C103" i="1"/>
  <c r="C99" i="1"/>
  <c r="C95" i="1"/>
  <c r="C91" i="1"/>
  <c r="C87" i="1"/>
  <c r="C83" i="1"/>
  <c r="C79" i="1"/>
  <c r="C75" i="1"/>
  <c r="C71" i="1"/>
  <c r="C67" i="1"/>
  <c r="C63" i="1"/>
  <c r="C59" i="1"/>
  <c r="C55" i="1"/>
  <c r="C51" i="1"/>
  <c r="C47" i="1"/>
  <c r="C43" i="1"/>
  <c r="C39" i="1"/>
  <c r="C35" i="1"/>
  <c r="C31" i="1"/>
  <c r="C27" i="1"/>
  <c r="C23" i="1"/>
  <c r="C19" i="1"/>
  <c r="C15" i="1"/>
  <c r="C11" i="1"/>
  <c r="C7" i="1"/>
  <c r="C3" i="1"/>
  <c r="C2" i="1"/>
  <c r="B122" i="1"/>
  <c r="B118" i="1"/>
  <c r="B114" i="1"/>
  <c r="B110" i="1"/>
  <c r="B106" i="1"/>
  <c r="B102" i="1"/>
  <c r="B98" i="1"/>
  <c r="B94" i="1"/>
  <c r="B90" i="1"/>
  <c r="B86" i="1"/>
  <c r="B82" i="1"/>
  <c r="B78" i="1"/>
  <c r="B74" i="1"/>
  <c r="B70" i="1"/>
  <c r="B66" i="1"/>
  <c r="B62" i="1"/>
  <c r="B58" i="1"/>
  <c r="B54" i="1"/>
  <c r="B50" i="1"/>
  <c r="B46" i="1"/>
  <c r="B42" i="1"/>
  <c r="B38" i="1"/>
  <c r="B34" i="1"/>
  <c r="B30" i="1"/>
  <c r="B26" i="1"/>
  <c r="B22" i="1"/>
  <c r="B18" i="1"/>
  <c r="B14" i="1"/>
  <c r="B10" i="1"/>
  <c r="B6" i="1"/>
  <c r="B125" i="1"/>
  <c r="B121" i="1"/>
  <c r="B117" i="1"/>
  <c r="B113" i="1"/>
  <c r="B109" i="1"/>
  <c r="B105" i="1"/>
  <c r="B101" i="1"/>
  <c r="B97" i="1"/>
  <c r="B93" i="1"/>
  <c r="B89" i="1"/>
  <c r="B85" i="1"/>
  <c r="B81" i="1"/>
  <c r="B77" i="1"/>
  <c r="B73" i="1"/>
  <c r="B69" i="1"/>
  <c r="B65" i="1"/>
  <c r="B61" i="1"/>
  <c r="B57" i="1"/>
  <c r="B53" i="1"/>
  <c r="B49" i="1"/>
  <c r="B45" i="1"/>
  <c r="B41" i="1"/>
  <c r="B37" i="1"/>
  <c r="B33" i="1"/>
  <c r="B29" i="1"/>
  <c r="B25" i="1"/>
  <c r="B21" i="1"/>
  <c r="B17" i="1"/>
  <c r="B13" i="1"/>
  <c r="B9" i="1"/>
  <c r="B5" i="1"/>
  <c r="B124" i="1"/>
  <c r="B120" i="1"/>
  <c r="B116" i="1"/>
  <c r="B112" i="1"/>
  <c r="B108" i="1"/>
  <c r="B104" i="1"/>
  <c r="B100" i="1"/>
  <c r="B96" i="1"/>
  <c r="B92" i="1"/>
  <c r="B88" i="1"/>
  <c r="B84" i="1"/>
  <c r="B80" i="1"/>
  <c r="B76" i="1"/>
  <c r="B72" i="1"/>
  <c r="B68" i="1"/>
  <c r="B64" i="1"/>
  <c r="B60" i="1"/>
  <c r="B56" i="1"/>
  <c r="B52" i="1"/>
  <c r="B48" i="1"/>
  <c r="B44" i="1"/>
  <c r="B40" i="1"/>
  <c r="B36" i="1"/>
  <c r="B32" i="1"/>
  <c r="B28" i="1"/>
  <c r="B24" i="1"/>
  <c r="B20" i="1"/>
  <c r="B16" i="1"/>
  <c r="B12" i="1"/>
  <c r="B8" i="1"/>
  <c r="B4" i="1"/>
  <c r="B123" i="1"/>
  <c r="B119" i="1"/>
  <c r="B115" i="1"/>
  <c r="B111" i="1"/>
  <c r="B107" i="1"/>
  <c r="B103" i="1"/>
  <c r="B99" i="1"/>
  <c r="B95" i="1"/>
  <c r="B91" i="1"/>
  <c r="B87" i="1"/>
  <c r="B83" i="1"/>
  <c r="B79" i="1"/>
  <c r="B75" i="1"/>
  <c r="B71" i="1"/>
  <c r="B67" i="1"/>
  <c r="B63" i="1"/>
  <c r="B59" i="1"/>
  <c r="B55" i="1"/>
  <c r="B51" i="1"/>
  <c r="B47" i="1"/>
  <c r="B43" i="1"/>
  <c r="B39" i="1"/>
  <c r="B35" i="1"/>
  <c r="B31" i="1"/>
  <c r="B27" i="1"/>
  <c r="B23" i="1"/>
  <c r="B19" i="1"/>
  <c r="B15" i="1"/>
  <c r="B11" i="1"/>
  <c r="B7" i="1"/>
  <c r="B3" i="1"/>
  <c r="B2" i="1"/>
  <c r="E122" i="1"/>
  <c r="G109" i="1"/>
  <c r="F109" i="1" s="1"/>
  <c r="K109" i="1" s="1"/>
  <c r="G85" i="1"/>
  <c r="F85" i="1" s="1"/>
  <c r="K85" i="1" s="1"/>
  <c r="G53" i="1"/>
  <c r="F53" i="1" s="1"/>
  <c r="K53" i="1" s="1"/>
  <c r="G122" i="1"/>
  <c r="F122" i="1" s="1"/>
  <c r="K122" i="1" s="1"/>
  <c r="G114" i="1"/>
  <c r="F114" i="1" s="1"/>
  <c r="K114" i="1" s="1"/>
  <c r="G106" i="1"/>
  <c r="F106" i="1" s="1"/>
  <c r="K106" i="1" s="1"/>
  <c r="G98" i="1"/>
  <c r="F98" i="1" s="1"/>
  <c r="K98" i="1" s="1"/>
  <c r="G90" i="1"/>
  <c r="F90" i="1" s="1"/>
  <c r="K90" i="1" s="1"/>
  <c r="G82" i="1"/>
  <c r="F82" i="1" s="1"/>
  <c r="K82" i="1" s="1"/>
  <c r="G74" i="1"/>
  <c r="F74" i="1" s="1"/>
  <c r="K74" i="1" s="1"/>
  <c r="G66" i="1"/>
  <c r="F66" i="1" s="1"/>
  <c r="K66" i="1" s="1"/>
  <c r="G58" i="1"/>
  <c r="F58" i="1" s="1"/>
  <c r="K58" i="1" s="1"/>
  <c r="G50" i="1"/>
  <c r="F50" i="1" s="1"/>
  <c r="K50" i="1" s="1"/>
  <c r="G42" i="1"/>
  <c r="F42" i="1" s="1"/>
  <c r="K42" i="1" s="1"/>
  <c r="G34" i="1"/>
  <c r="F34" i="1" s="1"/>
  <c r="K34" i="1" s="1"/>
  <c r="G26" i="1"/>
  <c r="F26" i="1" s="1"/>
  <c r="K26" i="1" s="1"/>
  <c r="G18" i="1"/>
  <c r="F18" i="1" s="1"/>
  <c r="K18" i="1" s="1"/>
  <c r="G10" i="1"/>
  <c r="F10" i="1" s="1"/>
  <c r="K10" i="1" s="1"/>
  <c r="G117" i="1"/>
  <c r="F117" i="1" s="1"/>
  <c r="K117" i="1" s="1"/>
  <c r="G45" i="1"/>
  <c r="F45" i="1" s="1"/>
  <c r="K45" i="1" s="1"/>
  <c r="G21" i="1"/>
  <c r="F21" i="1" s="1"/>
  <c r="K21" i="1" s="1"/>
  <c r="G119" i="1"/>
  <c r="F119" i="1" s="1"/>
  <c r="K119" i="1" s="1"/>
  <c r="G111" i="1"/>
  <c r="F111" i="1" s="1"/>
  <c r="K111" i="1" s="1"/>
  <c r="G103" i="1"/>
  <c r="F103" i="1" s="1"/>
  <c r="K103" i="1" s="1"/>
  <c r="G95" i="1"/>
  <c r="F95" i="1" s="1"/>
  <c r="K95" i="1" s="1"/>
  <c r="G87" i="1"/>
  <c r="F87" i="1" s="1"/>
  <c r="K87" i="1" s="1"/>
  <c r="G79" i="1"/>
  <c r="F79" i="1" s="1"/>
  <c r="K79" i="1" s="1"/>
  <c r="G71" i="1"/>
  <c r="F71" i="1" s="1"/>
  <c r="K71" i="1" s="1"/>
  <c r="G63" i="1"/>
  <c r="F63" i="1" s="1"/>
  <c r="K63" i="1" s="1"/>
  <c r="G55" i="1"/>
  <c r="F55" i="1" s="1"/>
  <c r="K55" i="1" s="1"/>
  <c r="G47" i="1"/>
  <c r="F47" i="1" s="1"/>
  <c r="K47" i="1" s="1"/>
  <c r="G39" i="1"/>
  <c r="F39" i="1" s="1"/>
  <c r="K39" i="1" s="1"/>
  <c r="G31" i="1"/>
  <c r="F31" i="1" s="1"/>
  <c r="K31" i="1" s="1"/>
  <c r="G23" i="1"/>
  <c r="F23" i="1" s="1"/>
  <c r="K23" i="1" s="1"/>
  <c r="G15" i="1"/>
  <c r="F15" i="1" s="1"/>
  <c r="K15" i="1" s="1"/>
  <c r="G7" i="1"/>
  <c r="F7" i="1" s="1"/>
  <c r="K7" i="1" s="1"/>
  <c r="G93" i="1"/>
  <c r="F93" i="1" s="1"/>
  <c r="K93" i="1" s="1"/>
  <c r="G61" i="1"/>
  <c r="F61" i="1" s="1"/>
  <c r="K61" i="1" s="1"/>
  <c r="G29" i="1"/>
  <c r="F29" i="1" s="1"/>
  <c r="K29" i="1" s="1"/>
  <c r="G124" i="1"/>
  <c r="F124" i="1" s="1"/>
  <c r="K124" i="1" s="1"/>
  <c r="G116" i="1"/>
  <c r="F116" i="1" s="1"/>
  <c r="K116" i="1" s="1"/>
  <c r="G108" i="1"/>
  <c r="F108" i="1" s="1"/>
  <c r="K108" i="1" s="1"/>
  <c r="G100" i="1"/>
  <c r="F100" i="1" s="1"/>
  <c r="K100" i="1" s="1"/>
  <c r="G92" i="1"/>
  <c r="F92" i="1" s="1"/>
  <c r="K92" i="1" s="1"/>
  <c r="G84" i="1"/>
  <c r="F84" i="1" s="1"/>
  <c r="K84" i="1" s="1"/>
  <c r="G76" i="1"/>
  <c r="F76" i="1" s="1"/>
  <c r="K76" i="1" s="1"/>
  <c r="G68" i="1"/>
  <c r="F68" i="1" s="1"/>
  <c r="K68" i="1" s="1"/>
  <c r="G60" i="1"/>
  <c r="F60" i="1" s="1"/>
  <c r="K60" i="1" s="1"/>
  <c r="G52" i="1"/>
  <c r="F52" i="1" s="1"/>
  <c r="K52" i="1" s="1"/>
  <c r="G44" i="1"/>
  <c r="F44" i="1" s="1"/>
  <c r="K44" i="1" s="1"/>
  <c r="G36" i="1"/>
  <c r="F36" i="1" s="1"/>
  <c r="K36" i="1" s="1"/>
  <c r="G28" i="1"/>
  <c r="F28" i="1" s="1"/>
  <c r="K28" i="1" s="1"/>
  <c r="G20" i="1"/>
  <c r="F20" i="1" s="1"/>
  <c r="K20" i="1" s="1"/>
  <c r="G12" i="1"/>
  <c r="F12" i="1" s="1"/>
  <c r="K12" i="1" s="1"/>
  <c r="G4" i="1"/>
  <c r="F4" i="1" s="1"/>
  <c r="K4" i="1" s="1"/>
  <c r="G77" i="1"/>
  <c r="F77" i="1" s="1"/>
  <c r="K77" i="1" s="1"/>
  <c r="G121" i="1"/>
  <c r="F121" i="1" s="1"/>
  <c r="K121" i="1" s="1"/>
  <c r="G113" i="1"/>
  <c r="F113" i="1" s="1"/>
  <c r="K113" i="1" s="1"/>
  <c r="G105" i="1"/>
  <c r="F105" i="1" s="1"/>
  <c r="K105" i="1" s="1"/>
  <c r="G97" i="1"/>
  <c r="F97" i="1" s="1"/>
  <c r="K97" i="1" s="1"/>
  <c r="G89" i="1"/>
  <c r="F89" i="1" s="1"/>
  <c r="K89" i="1" s="1"/>
  <c r="G81" i="1"/>
  <c r="F81" i="1" s="1"/>
  <c r="K81" i="1" s="1"/>
  <c r="G73" i="1"/>
  <c r="F73" i="1" s="1"/>
  <c r="K73" i="1" s="1"/>
  <c r="G65" i="1"/>
  <c r="F65" i="1" s="1"/>
  <c r="K65" i="1" s="1"/>
  <c r="G57" i="1"/>
  <c r="F57" i="1" s="1"/>
  <c r="K57" i="1" s="1"/>
  <c r="G49" i="1"/>
  <c r="F49" i="1" s="1"/>
  <c r="K49" i="1" s="1"/>
  <c r="G41" i="1"/>
  <c r="F41" i="1" s="1"/>
  <c r="K41" i="1" s="1"/>
  <c r="G33" i="1"/>
  <c r="F33" i="1" s="1"/>
  <c r="K33" i="1" s="1"/>
  <c r="G25" i="1"/>
  <c r="F25" i="1" s="1"/>
  <c r="K25" i="1" s="1"/>
  <c r="G17" i="1"/>
  <c r="F17" i="1" s="1"/>
  <c r="K17" i="1" s="1"/>
  <c r="G9" i="1"/>
  <c r="F9" i="1" s="1"/>
  <c r="K9" i="1" s="1"/>
  <c r="G5" i="1"/>
  <c r="F5" i="1" s="1"/>
  <c r="K5" i="1" s="1"/>
  <c r="G118" i="1"/>
  <c r="F118" i="1" s="1"/>
  <c r="K118" i="1" s="1"/>
  <c r="G110" i="1"/>
  <c r="F110" i="1" s="1"/>
  <c r="K110" i="1" s="1"/>
  <c r="G102" i="1"/>
  <c r="F102" i="1" s="1"/>
  <c r="K102" i="1" s="1"/>
  <c r="G94" i="1"/>
  <c r="F94" i="1" s="1"/>
  <c r="K94" i="1" s="1"/>
  <c r="G86" i="1"/>
  <c r="F86" i="1" s="1"/>
  <c r="K86" i="1" s="1"/>
  <c r="G78" i="1"/>
  <c r="F78" i="1" s="1"/>
  <c r="K78" i="1" s="1"/>
  <c r="G70" i="1"/>
  <c r="F70" i="1" s="1"/>
  <c r="K70" i="1" s="1"/>
  <c r="G62" i="1"/>
  <c r="F62" i="1" s="1"/>
  <c r="K62" i="1" s="1"/>
  <c r="G54" i="1"/>
  <c r="F54" i="1" s="1"/>
  <c r="K54" i="1" s="1"/>
  <c r="G46" i="1"/>
  <c r="F46" i="1" s="1"/>
  <c r="K46" i="1" s="1"/>
  <c r="G38" i="1"/>
  <c r="F38" i="1" s="1"/>
  <c r="K38" i="1" s="1"/>
  <c r="G30" i="1"/>
  <c r="F30" i="1" s="1"/>
  <c r="K30" i="1" s="1"/>
  <c r="G22" i="1"/>
  <c r="F22" i="1" s="1"/>
  <c r="K22" i="1" s="1"/>
  <c r="G14" i="1"/>
  <c r="F14" i="1" s="1"/>
  <c r="K14" i="1" s="1"/>
  <c r="G6" i="1"/>
  <c r="F6" i="1" s="1"/>
  <c r="K6" i="1" s="1"/>
  <c r="G101" i="1"/>
  <c r="F101" i="1" s="1"/>
  <c r="K101" i="1" s="1"/>
  <c r="G13" i="1"/>
  <c r="F13" i="1" s="1"/>
  <c r="K13" i="1" s="1"/>
  <c r="G123" i="1"/>
  <c r="F123" i="1" s="1"/>
  <c r="K123" i="1" s="1"/>
  <c r="G115" i="1"/>
  <c r="F115" i="1" s="1"/>
  <c r="K115" i="1" s="1"/>
  <c r="G107" i="1"/>
  <c r="F107" i="1" s="1"/>
  <c r="K107" i="1" s="1"/>
  <c r="G99" i="1"/>
  <c r="F99" i="1" s="1"/>
  <c r="K99" i="1" s="1"/>
  <c r="G91" i="1"/>
  <c r="F91" i="1" s="1"/>
  <c r="K91" i="1" s="1"/>
  <c r="G83" i="1"/>
  <c r="F83" i="1" s="1"/>
  <c r="K83" i="1" s="1"/>
  <c r="G75" i="1"/>
  <c r="F75" i="1" s="1"/>
  <c r="K75" i="1" s="1"/>
  <c r="G67" i="1"/>
  <c r="F67" i="1" s="1"/>
  <c r="K67" i="1" s="1"/>
  <c r="G59" i="1"/>
  <c r="F59" i="1" s="1"/>
  <c r="K59" i="1" s="1"/>
  <c r="G51" i="1"/>
  <c r="F51" i="1" s="1"/>
  <c r="K51" i="1" s="1"/>
  <c r="G43" i="1"/>
  <c r="F43" i="1" s="1"/>
  <c r="K43" i="1" s="1"/>
  <c r="G35" i="1"/>
  <c r="F35" i="1" s="1"/>
  <c r="K35" i="1" s="1"/>
  <c r="G27" i="1"/>
  <c r="F27" i="1" s="1"/>
  <c r="K27" i="1" s="1"/>
  <c r="G19" i="1"/>
  <c r="F19" i="1" s="1"/>
  <c r="K19" i="1" s="1"/>
  <c r="G11" i="1"/>
  <c r="F11" i="1" s="1"/>
  <c r="K11" i="1" s="1"/>
  <c r="G3" i="1"/>
  <c r="F3" i="1" s="1"/>
  <c r="K3" i="1" s="1"/>
  <c r="G125" i="1"/>
  <c r="F125" i="1" s="1"/>
  <c r="K125" i="1" s="1"/>
  <c r="G69" i="1"/>
  <c r="F69" i="1" s="1"/>
  <c r="K69" i="1" s="1"/>
  <c r="G37" i="1"/>
  <c r="F37" i="1" s="1"/>
  <c r="K37" i="1" s="1"/>
  <c r="G120" i="1"/>
  <c r="F120" i="1" s="1"/>
  <c r="K120" i="1" s="1"/>
  <c r="G112" i="1"/>
  <c r="F112" i="1" s="1"/>
  <c r="K112" i="1" s="1"/>
  <c r="G104" i="1"/>
  <c r="F104" i="1" s="1"/>
  <c r="K104" i="1" s="1"/>
  <c r="G96" i="1"/>
  <c r="F96" i="1" s="1"/>
  <c r="K96" i="1" s="1"/>
  <c r="G88" i="1"/>
  <c r="F88" i="1" s="1"/>
  <c r="K88" i="1" s="1"/>
  <c r="G80" i="1"/>
  <c r="F80" i="1" s="1"/>
  <c r="K80" i="1" s="1"/>
  <c r="G72" i="1"/>
  <c r="F72" i="1" s="1"/>
  <c r="K72" i="1" s="1"/>
  <c r="G64" i="1"/>
  <c r="F64" i="1" s="1"/>
  <c r="K64" i="1" s="1"/>
  <c r="G56" i="1"/>
  <c r="F56" i="1" s="1"/>
  <c r="K56" i="1" s="1"/>
  <c r="G48" i="1"/>
  <c r="F48" i="1" s="1"/>
  <c r="K48" i="1" s="1"/>
  <c r="G40" i="1"/>
  <c r="F40" i="1" s="1"/>
  <c r="K40" i="1" s="1"/>
  <c r="G32" i="1"/>
  <c r="F32" i="1" s="1"/>
  <c r="K32" i="1" s="1"/>
  <c r="G24" i="1"/>
  <c r="F24" i="1" s="1"/>
  <c r="K24" i="1" s="1"/>
  <c r="G16" i="1"/>
  <c r="F16" i="1" s="1"/>
  <c r="K16" i="1" s="1"/>
  <c r="G8" i="1"/>
  <c r="F8" i="1" s="1"/>
  <c r="K8" i="1" s="1"/>
  <c r="E114" i="1"/>
  <c r="E106" i="1"/>
  <c r="E98" i="1"/>
  <c r="E90" i="1"/>
  <c r="E82" i="1"/>
  <c r="E74" i="1"/>
  <c r="E66" i="1"/>
  <c r="E58" i="1"/>
  <c r="E50" i="1"/>
  <c r="E42" i="1"/>
  <c r="E34" i="1"/>
  <c r="E26" i="1"/>
  <c r="E18" i="1"/>
  <c r="E10" i="1"/>
  <c r="G2" i="1"/>
  <c r="F2" i="1" s="1"/>
  <c r="K2" i="1" s="1"/>
  <c r="E123" i="1"/>
  <c r="E115" i="1"/>
  <c r="E107" i="1"/>
  <c r="E120" i="1"/>
  <c r="E112" i="1"/>
  <c r="E104" i="1"/>
  <c r="E96" i="1"/>
  <c r="E88" i="1"/>
  <c r="E80" i="1"/>
  <c r="E72" i="1"/>
  <c r="E64" i="1"/>
  <c r="E56" i="1"/>
  <c r="E48" i="1"/>
  <c r="E40" i="1"/>
  <c r="E32" i="1"/>
  <c r="E24" i="1"/>
  <c r="E16" i="1"/>
  <c r="E8" i="1"/>
  <c r="E117" i="1"/>
  <c r="E101" i="1"/>
  <c r="E77" i="1"/>
  <c r="E125" i="1"/>
  <c r="E109" i="1"/>
  <c r="E93" i="1"/>
  <c r="E85" i="1"/>
  <c r="E99" i="1"/>
  <c r="E91" i="1"/>
  <c r="E83" i="1"/>
  <c r="E75" i="1"/>
  <c r="E67" i="1"/>
  <c r="E59" i="1"/>
  <c r="E69" i="1"/>
  <c r="E61" i="1"/>
  <c r="E53" i="1"/>
  <c r="E45" i="1"/>
  <c r="E37" i="1"/>
  <c r="E29" i="1"/>
  <c r="E21" i="1"/>
  <c r="E13" i="1"/>
  <c r="E5" i="1"/>
  <c r="E124" i="1"/>
  <c r="E116" i="1"/>
  <c r="E108" i="1"/>
  <c r="E100" i="1"/>
  <c r="E92" i="1"/>
  <c r="E84" i="1"/>
  <c r="E76" i="1"/>
  <c r="E68" i="1"/>
  <c r="E60" i="1"/>
  <c r="E52" i="1"/>
  <c r="E44" i="1"/>
  <c r="E36" i="1"/>
  <c r="E28" i="1"/>
  <c r="E20" i="1"/>
  <c r="E12" i="1"/>
  <c r="E4" i="1"/>
  <c r="E51" i="1"/>
  <c r="E43" i="1"/>
  <c r="E35" i="1"/>
  <c r="E27" i="1"/>
  <c r="E19" i="1"/>
  <c r="E11" i="1"/>
  <c r="E3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119" i="1"/>
  <c r="E103" i="1"/>
  <c r="E95" i="1"/>
  <c r="E87" i="1"/>
  <c r="E79" i="1"/>
  <c r="E71" i="1"/>
  <c r="E63" i="1"/>
  <c r="E55" i="1"/>
  <c r="E47" i="1"/>
  <c r="E39" i="1"/>
  <c r="E31" i="1"/>
  <c r="E23" i="1"/>
  <c r="E15" i="1"/>
  <c r="E7" i="1"/>
  <c r="E111" i="1"/>
  <c r="E2" i="1"/>
  <c r="E118" i="1"/>
  <c r="E110" i="1"/>
  <c r="E102" i="1"/>
  <c r="E94" i="1"/>
  <c r="E86" i="1"/>
  <c r="E78" i="1"/>
  <c r="E70" i="1"/>
  <c r="E62" i="1"/>
  <c r="E54" i="1"/>
  <c r="E46" i="1"/>
  <c r="E38" i="1"/>
  <c r="E30" i="1"/>
  <c r="E22" i="1"/>
  <c r="E14" i="1"/>
  <c r="E6" i="1"/>
  <c r="H90" i="1" a="1"/>
  <c r="H26" i="1" a="1"/>
  <c r="H103" i="1" a="1"/>
  <c r="H39" i="1" a="1"/>
  <c r="H124" i="1" a="1"/>
  <c r="H60" i="1" a="1"/>
  <c r="H77" i="1" a="1"/>
  <c r="H65" i="1" a="1"/>
  <c r="H5" i="1" a="1"/>
  <c r="H62" i="1" a="1"/>
  <c r="H101" i="1" a="1"/>
  <c r="H75" i="1" a="1"/>
  <c r="H11" i="1" a="1"/>
  <c r="H96" i="1" a="1"/>
  <c r="H32" i="1" a="1"/>
  <c r="H67" i="1" a="1"/>
  <c r="H47" i="1" a="1"/>
  <c r="H29" i="1" a="1"/>
  <c r="H68" i="1" a="1"/>
  <c r="H4" i="1" a="1"/>
  <c r="H73" i="1" a="1"/>
  <c r="H9" i="1" a="1"/>
  <c r="H70" i="1" a="1"/>
  <c r="H6" i="1" a="1"/>
  <c r="H83" i="1" a="1"/>
  <c r="H19" i="1" a="1"/>
  <c r="H104" i="1" a="1"/>
  <c r="H40" i="1" a="1"/>
  <c r="H109" i="1" a="1"/>
  <c r="H82" i="1" a="1"/>
  <c r="H18" i="1" a="1"/>
  <c r="H95" i="1" a="1"/>
  <c r="H31" i="1" a="1"/>
  <c r="H116" i="1" a="1"/>
  <c r="H52" i="1" a="1"/>
  <c r="H121" i="1" a="1"/>
  <c r="H57" i="1" a="1"/>
  <c r="H118" i="1" a="1"/>
  <c r="H54" i="1" a="1"/>
  <c r="H13" i="1" a="1"/>
  <c r="H3" i="1" a="1"/>
  <c r="H88" i="1" a="1"/>
  <c r="H24" i="1" a="1"/>
  <c r="H85" i="1" a="1"/>
  <c r="H74" i="1" a="1"/>
  <c r="H10" i="1" a="1"/>
  <c r="H87" i="1" a="1"/>
  <c r="H23" i="1" a="1"/>
  <c r="H108" i="1" a="1"/>
  <c r="H44" i="1" a="1"/>
  <c r="H113" i="1" a="1"/>
  <c r="H49" i="1" a="1"/>
  <c r="H110" i="1" a="1"/>
  <c r="H46" i="1" a="1"/>
  <c r="H123" i="1" a="1"/>
  <c r="H59" i="1" a="1"/>
  <c r="H125" i="1" a="1"/>
  <c r="H80" i="1" a="1"/>
  <c r="H16" i="1" a="1"/>
  <c r="H53" i="1" a="1"/>
  <c r="H66" i="1" a="1"/>
  <c r="H117" i="1" a="1"/>
  <c r="H79" i="1" a="1"/>
  <c r="H15" i="1" a="1"/>
  <c r="H100" i="1" a="1"/>
  <c r="H36" i="1" a="1"/>
  <c r="H105" i="1" a="1"/>
  <c r="H41" i="1" a="1"/>
  <c r="H102" i="1" a="1"/>
  <c r="H38" i="1" a="1"/>
  <c r="H115" i="1" a="1"/>
  <c r="H51" i="1" a="1"/>
  <c r="H69" i="1" a="1"/>
  <c r="H72" i="1" a="1"/>
  <c r="H8" i="1" a="1"/>
  <c r="H122" i="1" a="1"/>
  <c r="H58" i="1" a="1"/>
  <c r="H45" i="1" a="1"/>
  <c r="H71" i="1" a="1"/>
  <c r="H7" i="1" a="1"/>
  <c r="H92" i="1" a="1"/>
  <c r="H28" i="1" a="1"/>
  <c r="H97" i="1" a="1"/>
  <c r="H33" i="1" a="1"/>
  <c r="H94" i="1" a="1"/>
  <c r="H30" i="1" a="1"/>
  <c r="H107" i="1" a="1"/>
  <c r="H43" i="1" a="1"/>
  <c r="H37" i="1" a="1"/>
  <c r="H64" i="1" a="1"/>
  <c r="H112" i="1" a="1"/>
  <c r="H114" i="1" a="1"/>
  <c r="H50" i="1" a="1"/>
  <c r="H21" i="1" a="1"/>
  <c r="H63" i="1" a="1"/>
  <c r="H93" i="1" a="1"/>
  <c r="H84" i="1" a="1"/>
  <c r="H20" i="1" a="1"/>
  <c r="H89" i="1" a="1"/>
  <c r="H25" i="1" a="1"/>
  <c r="H86" i="1" a="1"/>
  <c r="H22" i="1" a="1"/>
  <c r="H99" i="1" a="1"/>
  <c r="H35" i="1" a="1"/>
  <c r="H120" i="1" a="1"/>
  <c r="H56" i="1" a="1"/>
  <c r="H78" i="1" a="1"/>
  <c r="H106" i="1" a="1"/>
  <c r="H42" i="1" a="1"/>
  <c r="H119" i="1" a="1"/>
  <c r="H55" i="1" a="1"/>
  <c r="H61" i="1" a="1"/>
  <c r="H76" i="1" a="1"/>
  <c r="H12" i="1" a="1"/>
  <c r="H81" i="1" a="1"/>
  <c r="H17" i="1" a="1"/>
  <c r="H14" i="1" a="1"/>
  <c r="H91" i="1" a="1"/>
  <c r="H27" i="1" a="1"/>
  <c r="H48" i="1" a="1"/>
  <c r="H98" i="1" a="1"/>
  <c r="H34" i="1" a="1"/>
  <c r="H111" i="1" a="1"/>
  <c r="H2" i="1" a="1"/>
  <c r="H111" i="1" l="1"/>
  <c r="I111" i="1" s="1"/>
  <c r="H34" i="1"/>
  <c r="I34" i="1" s="1"/>
  <c r="H98" i="1"/>
  <c r="I98" i="1" s="1"/>
  <c r="H48" i="1"/>
  <c r="I48" i="1" s="1"/>
  <c r="H27" i="1"/>
  <c r="I27" i="1" s="1"/>
  <c r="H91" i="1"/>
  <c r="I91" i="1" s="1"/>
  <c r="H14" i="1"/>
  <c r="I14" i="1" s="1"/>
  <c r="H17" i="1"/>
  <c r="I17" i="1" s="1"/>
  <c r="H81" i="1"/>
  <c r="I81" i="1" s="1"/>
  <c r="H12" i="1"/>
  <c r="I12" i="1" s="1"/>
  <c r="H76" i="1"/>
  <c r="I76" i="1" s="1"/>
  <c r="H61" i="1"/>
  <c r="I61" i="1" s="1"/>
  <c r="H55" i="1"/>
  <c r="I55" i="1" s="1"/>
  <c r="H119" i="1"/>
  <c r="I119" i="1" s="1"/>
  <c r="H42" i="1"/>
  <c r="I42" i="1" s="1"/>
  <c r="H106" i="1"/>
  <c r="I106" i="1" s="1"/>
  <c r="H78" i="1"/>
  <c r="I78" i="1" s="1"/>
  <c r="H56" i="1"/>
  <c r="I56" i="1" s="1"/>
  <c r="H120" i="1"/>
  <c r="I120" i="1" s="1"/>
  <c r="H35" i="1"/>
  <c r="I35" i="1" s="1"/>
  <c r="H99" i="1"/>
  <c r="I99" i="1" s="1"/>
  <c r="H22" i="1"/>
  <c r="I22" i="1" s="1"/>
  <c r="H86" i="1"/>
  <c r="I86" i="1" s="1"/>
  <c r="H25" i="1"/>
  <c r="I25" i="1" s="1"/>
  <c r="H89" i="1"/>
  <c r="I89" i="1" s="1"/>
  <c r="H20" i="1"/>
  <c r="I20" i="1" s="1"/>
  <c r="H84" i="1"/>
  <c r="I84" i="1" s="1"/>
  <c r="H93" i="1"/>
  <c r="I93" i="1" s="1"/>
  <c r="H63" i="1"/>
  <c r="I63" i="1" s="1"/>
  <c r="H21" i="1"/>
  <c r="I21" i="1" s="1"/>
  <c r="H50" i="1"/>
  <c r="I50" i="1" s="1"/>
  <c r="H114" i="1"/>
  <c r="I114" i="1" s="1"/>
  <c r="H112" i="1"/>
  <c r="I112" i="1" s="1"/>
  <c r="H64" i="1"/>
  <c r="I64" i="1" s="1"/>
  <c r="H37" i="1"/>
  <c r="I37" i="1" s="1"/>
  <c r="H43" i="1"/>
  <c r="I43" i="1" s="1"/>
  <c r="H107" i="1"/>
  <c r="I107" i="1" s="1"/>
  <c r="H30" i="1"/>
  <c r="I30" i="1" s="1"/>
  <c r="H94" i="1"/>
  <c r="I94" i="1" s="1"/>
  <c r="H33" i="1"/>
  <c r="I33" i="1" s="1"/>
  <c r="H97" i="1"/>
  <c r="I97" i="1" s="1"/>
  <c r="H28" i="1"/>
  <c r="I28" i="1" s="1"/>
  <c r="H92" i="1"/>
  <c r="I92" i="1" s="1"/>
  <c r="H7" i="1"/>
  <c r="I7" i="1" s="1"/>
  <c r="H71" i="1"/>
  <c r="I71" i="1" s="1"/>
  <c r="H45" i="1"/>
  <c r="I45" i="1" s="1"/>
  <c r="H58" i="1"/>
  <c r="I58" i="1" s="1"/>
  <c r="H122" i="1"/>
  <c r="I122" i="1" s="1"/>
  <c r="H8" i="1"/>
  <c r="I8" i="1" s="1"/>
  <c r="H72" i="1"/>
  <c r="I72" i="1" s="1"/>
  <c r="H69" i="1"/>
  <c r="I69" i="1" s="1"/>
  <c r="H51" i="1"/>
  <c r="I51" i="1" s="1"/>
  <c r="H115" i="1"/>
  <c r="I115" i="1" s="1"/>
  <c r="H38" i="1"/>
  <c r="I38" i="1" s="1"/>
  <c r="H102" i="1"/>
  <c r="I102" i="1" s="1"/>
  <c r="H41" i="1"/>
  <c r="I41" i="1" s="1"/>
  <c r="H105" i="1"/>
  <c r="I105" i="1" s="1"/>
  <c r="H36" i="1"/>
  <c r="I36" i="1" s="1"/>
  <c r="H100" i="1"/>
  <c r="I100" i="1" s="1"/>
  <c r="H15" i="1"/>
  <c r="I15" i="1" s="1"/>
  <c r="H79" i="1"/>
  <c r="I79" i="1" s="1"/>
  <c r="H117" i="1"/>
  <c r="I117" i="1" s="1"/>
  <c r="H66" i="1"/>
  <c r="I66" i="1" s="1"/>
  <c r="H53" i="1"/>
  <c r="I53" i="1" s="1"/>
  <c r="H16" i="1"/>
  <c r="I16" i="1" s="1"/>
  <c r="H80" i="1"/>
  <c r="I80" i="1" s="1"/>
  <c r="H125" i="1"/>
  <c r="I125" i="1" s="1"/>
  <c r="H59" i="1"/>
  <c r="I59" i="1" s="1"/>
  <c r="H123" i="1"/>
  <c r="I123" i="1" s="1"/>
  <c r="H46" i="1"/>
  <c r="I46" i="1" s="1"/>
  <c r="H110" i="1"/>
  <c r="I110" i="1" s="1"/>
  <c r="H49" i="1"/>
  <c r="I49" i="1" s="1"/>
  <c r="H113" i="1"/>
  <c r="I113" i="1" s="1"/>
  <c r="H44" i="1"/>
  <c r="I44" i="1" s="1"/>
  <c r="H108" i="1"/>
  <c r="I108" i="1" s="1"/>
  <c r="H23" i="1"/>
  <c r="I23" i="1" s="1"/>
  <c r="H87" i="1"/>
  <c r="I87" i="1" s="1"/>
  <c r="H10" i="1"/>
  <c r="I10" i="1" s="1"/>
  <c r="H74" i="1"/>
  <c r="I74" i="1" s="1"/>
  <c r="H85" i="1"/>
  <c r="I85" i="1" s="1"/>
  <c r="H24" i="1"/>
  <c r="I24" i="1" s="1"/>
  <c r="H88" i="1"/>
  <c r="I88" i="1" s="1"/>
  <c r="H3" i="1"/>
  <c r="I3" i="1" s="1"/>
  <c r="H13" i="1"/>
  <c r="I13" i="1" s="1"/>
  <c r="H54" i="1"/>
  <c r="I54" i="1" s="1"/>
  <c r="H118" i="1"/>
  <c r="I118" i="1" s="1"/>
  <c r="H57" i="1"/>
  <c r="I57" i="1" s="1"/>
  <c r="H121" i="1"/>
  <c r="I121" i="1" s="1"/>
  <c r="H52" i="1"/>
  <c r="I52" i="1" s="1"/>
  <c r="H116" i="1"/>
  <c r="I116" i="1" s="1"/>
  <c r="H31" i="1"/>
  <c r="I31" i="1" s="1"/>
  <c r="H95" i="1"/>
  <c r="I95" i="1" s="1"/>
  <c r="H18" i="1"/>
  <c r="I18" i="1" s="1"/>
  <c r="H82" i="1"/>
  <c r="I82" i="1" s="1"/>
  <c r="H109" i="1"/>
  <c r="I109" i="1" s="1"/>
  <c r="H40" i="1"/>
  <c r="I40" i="1" s="1"/>
  <c r="H104" i="1"/>
  <c r="I104" i="1" s="1"/>
  <c r="H19" i="1"/>
  <c r="I19" i="1" s="1"/>
  <c r="H83" i="1"/>
  <c r="I83" i="1" s="1"/>
  <c r="H6" i="1"/>
  <c r="I6" i="1" s="1"/>
  <c r="H70" i="1"/>
  <c r="I70" i="1" s="1"/>
  <c r="H9" i="1"/>
  <c r="I9" i="1" s="1"/>
  <c r="H73" i="1"/>
  <c r="I73" i="1" s="1"/>
  <c r="H4" i="1"/>
  <c r="I4" i="1" s="1"/>
  <c r="H68" i="1"/>
  <c r="I68" i="1" s="1"/>
  <c r="H29" i="1"/>
  <c r="I29" i="1" s="1"/>
  <c r="H47" i="1"/>
  <c r="I47" i="1" s="1"/>
  <c r="H67" i="1"/>
  <c r="I67" i="1" s="1"/>
  <c r="H32" i="1"/>
  <c r="I32" i="1" s="1"/>
  <c r="H96" i="1"/>
  <c r="I96" i="1" s="1"/>
  <c r="H11" i="1"/>
  <c r="I11" i="1" s="1"/>
  <c r="H75" i="1"/>
  <c r="I75" i="1" s="1"/>
  <c r="H101" i="1"/>
  <c r="I101" i="1" s="1"/>
  <c r="H62" i="1"/>
  <c r="I62" i="1" s="1"/>
  <c r="H5" i="1"/>
  <c r="I5" i="1" s="1"/>
  <c r="H65" i="1"/>
  <c r="I65" i="1" s="1"/>
  <c r="H77" i="1"/>
  <c r="I77" i="1" s="1"/>
  <c r="H60" i="1"/>
  <c r="I60" i="1" s="1"/>
  <c r="H124" i="1"/>
  <c r="I124" i="1" s="1"/>
  <c r="H39" i="1"/>
  <c r="I39" i="1" s="1"/>
  <c r="H103" i="1"/>
  <c r="I103" i="1" s="1"/>
  <c r="H26" i="1"/>
  <c r="I26" i="1" s="1"/>
  <c r="H90" i="1"/>
  <c r="I90" i="1" s="1"/>
  <c r="H2" i="1"/>
  <c r="I2" i="1" s="1"/>
  <c r="J111" i="1" a="1"/>
  <c r="J81" i="1" a="1"/>
  <c r="J78" i="1" a="1"/>
  <c r="J89" i="1" a="1"/>
  <c r="J112" i="1" a="1"/>
  <c r="J97" i="1" a="1"/>
  <c r="J8" i="1" a="1"/>
  <c r="J105" i="1" a="1"/>
  <c r="J16" i="1" a="1"/>
  <c r="J113" i="1" a="1"/>
  <c r="J24" i="1" a="1"/>
  <c r="J52" i="1" a="1"/>
  <c r="J104" i="1" a="1"/>
  <c r="J68" i="1" a="1"/>
  <c r="J101" i="1" a="1"/>
  <c r="J103" i="1" a="1"/>
  <c r="J29" i="1" a="1"/>
  <c r="J90" i="1" a="1"/>
  <c r="J34" i="1" a="1"/>
  <c r="J12" i="1" a="1"/>
  <c r="J56" i="1" a="1"/>
  <c r="J20" i="1" a="1"/>
  <c r="J64" i="1" a="1"/>
  <c r="J28" i="1" a="1"/>
  <c r="J72" i="1" a="1"/>
  <c r="J36" i="1" a="1"/>
  <c r="J80" i="1" a="1"/>
  <c r="J44" i="1" a="1"/>
  <c r="J88" i="1" a="1"/>
  <c r="J116" i="1" a="1"/>
  <c r="J19" i="1" a="1"/>
  <c r="J62" i="1" a="1"/>
  <c r="J98" i="1" a="1"/>
  <c r="J76" i="1" a="1"/>
  <c r="J120" i="1" a="1"/>
  <c r="J84" i="1" a="1"/>
  <c r="J37" i="1" a="1"/>
  <c r="J92" i="1" a="1"/>
  <c r="J69" i="1" a="1"/>
  <c r="J100" i="1" a="1"/>
  <c r="J125" i="1" a="1"/>
  <c r="J108" i="1" a="1"/>
  <c r="J3" i="1" a="1"/>
  <c r="J31" i="1" a="1"/>
  <c r="J83" i="1" a="1"/>
  <c r="J47" i="1" a="1"/>
  <c r="J5" i="1" a="1"/>
  <c r="J48" i="1" a="1"/>
  <c r="J61" i="1" a="1"/>
  <c r="J35" i="1" a="1"/>
  <c r="J93" i="1" a="1"/>
  <c r="J43" i="1" a="1"/>
  <c r="J7" i="1" a="1"/>
  <c r="J51" i="1" a="1"/>
  <c r="J15" i="1" a="1"/>
  <c r="J59" i="1" a="1"/>
  <c r="J23" i="1" a="1"/>
  <c r="J13" i="1" a="1"/>
  <c r="J95" i="1" a="1"/>
  <c r="J6" i="1" a="1"/>
  <c r="J67" i="1" a="1"/>
  <c r="J65" i="1" a="1"/>
  <c r="J32" i="1" a="1"/>
  <c r="J25" i="1" a="1"/>
  <c r="J41" i="1" a="1"/>
  <c r="J121" i="1" a="1"/>
  <c r="J39" i="1" a="1"/>
  <c r="J27" i="1" a="1"/>
  <c r="J55" i="1" a="1"/>
  <c r="J99" i="1" a="1"/>
  <c r="J63" i="1" a="1"/>
  <c r="J107" i="1" a="1"/>
  <c r="J71" i="1" a="1"/>
  <c r="J115" i="1" a="1"/>
  <c r="J79" i="1" a="1"/>
  <c r="J123" i="1" a="1"/>
  <c r="J87" i="1" a="1"/>
  <c r="J54" i="1" a="1"/>
  <c r="J18" i="1" a="1"/>
  <c r="J70" i="1" a="1"/>
  <c r="J77" i="1" a="1"/>
  <c r="J122" i="1" a="1"/>
  <c r="J85" i="1" a="1"/>
  <c r="J75" i="1" a="1"/>
  <c r="J91" i="1" a="1"/>
  <c r="J119" i="1" a="1"/>
  <c r="J22" i="1" a="1"/>
  <c r="J21" i="1" a="1"/>
  <c r="J30" i="1" a="1"/>
  <c r="J45" i="1" a="1"/>
  <c r="J38" i="1" a="1"/>
  <c r="J117" i="1" a="1"/>
  <c r="J46" i="1" a="1"/>
  <c r="J10" i="1" a="1"/>
  <c r="J118" i="1" a="1"/>
  <c r="J82" i="1" a="1"/>
  <c r="J9" i="1" a="1"/>
  <c r="J96" i="1" a="1"/>
  <c r="J60" i="1" a="1"/>
  <c r="J106" i="1" a="1"/>
  <c r="J33" i="1" a="1"/>
  <c r="J49" i="1" a="1"/>
  <c r="J40" i="1" a="1"/>
  <c r="J26" i="1" a="1"/>
  <c r="J14" i="1" a="1"/>
  <c r="J42" i="1" a="1"/>
  <c r="J86" i="1" a="1"/>
  <c r="J50" i="1" a="1"/>
  <c r="J94" i="1" a="1"/>
  <c r="J58" i="1" a="1"/>
  <c r="J102" i="1" a="1"/>
  <c r="J66" i="1" a="1"/>
  <c r="J110" i="1" a="1"/>
  <c r="J74" i="1" a="1"/>
  <c r="J57" i="1" a="1"/>
  <c r="J109" i="1" a="1"/>
  <c r="J73" i="1" a="1"/>
  <c r="J11" i="1" a="1"/>
  <c r="J124" i="1" a="1"/>
  <c r="J17" i="1" a="1"/>
  <c r="J114" i="1" a="1"/>
  <c r="J53" i="1" a="1"/>
  <c r="J4" i="1" a="1"/>
  <c r="J2" i="1" a="1"/>
  <c r="J4" i="1" l="1"/>
  <c r="J53" i="1"/>
  <c r="J114" i="1"/>
  <c r="J17" i="1"/>
  <c r="J124" i="1"/>
  <c r="J11" i="1"/>
  <c r="J73" i="1"/>
  <c r="J109" i="1"/>
  <c r="J57" i="1"/>
  <c r="J74" i="1"/>
  <c r="J110" i="1"/>
  <c r="J66" i="1"/>
  <c r="J102" i="1"/>
  <c r="J58" i="1"/>
  <c r="J94" i="1"/>
  <c r="J50" i="1"/>
  <c r="J86" i="1"/>
  <c r="J42" i="1"/>
  <c r="J14" i="1"/>
  <c r="J26" i="1"/>
  <c r="J40" i="1"/>
  <c r="J49" i="1"/>
  <c r="J33" i="1"/>
  <c r="J106" i="1"/>
  <c r="J60" i="1"/>
  <c r="J96" i="1"/>
  <c r="J9" i="1"/>
  <c r="J82" i="1"/>
  <c r="J118" i="1"/>
  <c r="J10" i="1"/>
  <c r="J46" i="1"/>
  <c r="J117" i="1"/>
  <c r="J38" i="1"/>
  <c r="J45" i="1"/>
  <c r="J30" i="1"/>
  <c r="J21" i="1"/>
  <c r="J22" i="1"/>
  <c r="J119" i="1"/>
  <c r="J91" i="1"/>
  <c r="J75" i="1"/>
  <c r="J85" i="1"/>
  <c r="J122" i="1"/>
  <c r="J77" i="1"/>
  <c r="J70" i="1"/>
  <c r="J18" i="1"/>
  <c r="J54" i="1"/>
  <c r="J87" i="1"/>
  <c r="J123" i="1"/>
  <c r="J79" i="1"/>
  <c r="J115" i="1"/>
  <c r="J71" i="1"/>
  <c r="J107" i="1"/>
  <c r="J63" i="1"/>
  <c r="J99" i="1"/>
  <c r="J55" i="1"/>
  <c r="J27" i="1"/>
  <c r="J39" i="1"/>
  <c r="J121" i="1"/>
  <c r="J41" i="1"/>
  <c r="J25" i="1"/>
  <c r="J32" i="1"/>
  <c r="J65" i="1"/>
  <c r="J67" i="1"/>
  <c r="J6" i="1"/>
  <c r="J95" i="1"/>
  <c r="J13" i="1"/>
  <c r="J23" i="1"/>
  <c r="J59" i="1"/>
  <c r="J15" i="1"/>
  <c r="J51" i="1"/>
  <c r="J7" i="1"/>
  <c r="J43" i="1"/>
  <c r="J93" i="1"/>
  <c r="J35" i="1"/>
  <c r="J61" i="1"/>
  <c r="J48" i="1"/>
  <c r="J5" i="1"/>
  <c r="J47" i="1"/>
  <c r="J83" i="1"/>
  <c r="J31" i="1"/>
  <c r="J3" i="1"/>
  <c r="J108" i="1"/>
  <c r="J125" i="1"/>
  <c r="J100" i="1"/>
  <c r="J69" i="1"/>
  <c r="J92" i="1"/>
  <c r="J37" i="1"/>
  <c r="J84" i="1"/>
  <c r="J120" i="1"/>
  <c r="J76" i="1"/>
  <c r="J98" i="1"/>
  <c r="J62" i="1"/>
  <c r="J19" i="1"/>
  <c r="J116" i="1"/>
  <c r="J88" i="1"/>
  <c r="J44" i="1"/>
  <c r="J80" i="1"/>
  <c r="J36" i="1"/>
  <c r="J72" i="1"/>
  <c r="J28" i="1"/>
  <c r="J64" i="1"/>
  <c r="J20" i="1"/>
  <c r="J56" i="1"/>
  <c r="J12" i="1"/>
  <c r="J34" i="1"/>
  <c r="J90" i="1"/>
  <c r="J29" i="1"/>
  <c r="J103" i="1"/>
  <c r="J101" i="1"/>
  <c r="J68" i="1"/>
  <c r="J104" i="1"/>
  <c r="J52" i="1"/>
  <c r="J24" i="1"/>
  <c r="J113" i="1"/>
  <c r="J16" i="1"/>
  <c r="J105" i="1"/>
  <c r="J8" i="1"/>
  <c r="J97" i="1"/>
  <c r="J112" i="1"/>
  <c r="J89" i="1"/>
  <c r="J78" i="1"/>
  <c r="J81" i="1"/>
  <c r="J111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<sst xmlns="http://schemas.openxmlformats.org/spreadsheetml/2006/main" count="4521" uniqueCount="925">
  <si>
    <t>籍贯</t>
    <phoneticPr fontId="1" type="noConversion"/>
  </si>
  <si>
    <t>出生日期</t>
    <phoneticPr fontId="1" type="noConversion"/>
  </si>
  <si>
    <t>性别</t>
    <phoneticPr fontId="1" type="noConversion"/>
  </si>
  <si>
    <t>姓名</t>
    <phoneticPr fontId="1" type="noConversion"/>
  </si>
  <si>
    <t>民族</t>
    <phoneticPr fontId="1" type="noConversion"/>
  </si>
  <si>
    <t>学历</t>
    <phoneticPr fontId="1" type="noConversion"/>
  </si>
  <si>
    <t>毕业院校</t>
    <phoneticPr fontId="1" type="noConversion"/>
  </si>
  <si>
    <t>专业</t>
    <phoneticPr fontId="1" type="noConversion"/>
  </si>
  <si>
    <t>求职意向</t>
    <phoneticPr fontId="1" type="noConversion"/>
  </si>
  <si>
    <t>职业技能</t>
    <phoneticPr fontId="1" type="noConversion"/>
  </si>
  <si>
    <t>工作经验</t>
    <phoneticPr fontId="1" type="noConversion"/>
  </si>
  <si>
    <t>自我评价</t>
    <phoneticPr fontId="1" type="noConversion"/>
  </si>
  <si>
    <t>电话</t>
    <phoneticPr fontId="1" type="noConversion"/>
  </si>
  <si>
    <t>河北省</t>
  </si>
  <si>
    <t>山西省</t>
  </si>
  <si>
    <t>辽宁省</t>
  </si>
  <si>
    <t>吉林省</t>
  </si>
  <si>
    <t>黑龙江省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</si>
  <si>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</si>
  <si>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</si>
  <si>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</si>
  <si>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</si>
  <si>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</si>
  <si>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</si>
  <si>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</si>
  <si>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</si>
  <si>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</si>
  <si>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</si>
  <si>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四川省</t>
  </si>
  <si>
    <t>贵州省</t>
  </si>
  <si>
    <t>云南省</t>
  </si>
  <si>
    <t>张1</t>
  </si>
  <si>
    <t>张1</t>
    <phoneticPr fontId="1" type="noConversion"/>
  </si>
  <si>
    <t>张2</t>
  </si>
  <si>
    <t>张3</t>
  </si>
  <si>
    <t>张4</t>
  </si>
  <si>
    <t>张5</t>
  </si>
  <si>
    <t>张6</t>
  </si>
  <si>
    <t>张7</t>
  </si>
  <si>
    <t>张8</t>
  </si>
  <si>
    <t>张9</t>
  </si>
  <si>
    <t>张10</t>
  </si>
  <si>
    <t>张11</t>
  </si>
  <si>
    <t>张12</t>
  </si>
  <si>
    <t>张13</t>
  </si>
  <si>
    <t>张14</t>
  </si>
  <si>
    <t>张15</t>
  </si>
  <si>
    <t>张16</t>
  </si>
  <si>
    <t>张17</t>
  </si>
  <si>
    <t>张18</t>
  </si>
  <si>
    <t>张19</t>
  </si>
  <si>
    <t>张20</t>
  </si>
  <si>
    <t>张21</t>
  </si>
  <si>
    <t>张22</t>
  </si>
  <si>
    <t>张23</t>
  </si>
  <si>
    <t>张24</t>
  </si>
  <si>
    <t>张25</t>
  </si>
  <si>
    <t>张26</t>
  </si>
  <si>
    <t>张27</t>
  </si>
  <si>
    <t>张28</t>
  </si>
  <si>
    <t>张29</t>
  </si>
  <si>
    <t>张30</t>
  </si>
  <si>
    <t>张31</t>
  </si>
  <si>
    <t>张32</t>
  </si>
  <si>
    <t>张33</t>
  </si>
  <si>
    <t>张34</t>
  </si>
  <si>
    <t>张35</t>
  </si>
  <si>
    <t>张36</t>
  </si>
  <si>
    <t>张37</t>
  </si>
  <si>
    <t>张38</t>
  </si>
  <si>
    <t>张39</t>
  </si>
  <si>
    <t>张40</t>
  </si>
  <si>
    <t>张41</t>
  </si>
  <si>
    <t>张42</t>
  </si>
  <si>
    <t>张43</t>
  </si>
  <si>
    <t>张44</t>
  </si>
  <si>
    <t>张45</t>
  </si>
  <si>
    <t>张46</t>
  </si>
  <si>
    <t>张47</t>
  </si>
  <si>
    <t>张48</t>
  </si>
  <si>
    <t>张49</t>
  </si>
  <si>
    <t>张50</t>
  </si>
  <si>
    <t>张51</t>
  </si>
  <si>
    <t>张52</t>
  </si>
  <si>
    <t>张53</t>
  </si>
  <si>
    <t>张54</t>
  </si>
  <si>
    <t>张55</t>
  </si>
  <si>
    <t>张56</t>
  </si>
  <si>
    <t>张57</t>
  </si>
  <si>
    <t>张58</t>
  </si>
  <si>
    <t>张59</t>
  </si>
  <si>
    <t>张60</t>
  </si>
  <si>
    <t>张61</t>
  </si>
  <si>
    <t>张62</t>
  </si>
  <si>
    <t>张63</t>
  </si>
  <si>
    <t>张64</t>
  </si>
  <si>
    <t>张65</t>
  </si>
  <si>
    <t>张66</t>
  </si>
  <si>
    <t>张67</t>
  </si>
  <si>
    <t>张68</t>
  </si>
  <si>
    <t>张69</t>
  </si>
  <si>
    <t>张70</t>
  </si>
  <si>
    <t>张71</t>
  </si>
  <si>
    <t>张72</t>
  </si>
  <si>
    <t>张73</t>
  </si>
  <si>
    <t>张74</t>
  </si>
  <si>
    <t>张75</t>
  </si>
  <si>
    <t>张76</t>
  </si>
  <si>
    <t>张77</t>
  </si>
  <si>
    <t>张78</t>
  </si>
  <si>
    <t>张79</t>
  </si>
  <si>
    <t>张80</t>
  </si>
  <si>
    <t>张81</t>
  </si>
  <si>
    <t>张82</t>
  </si>
  <si>
    <t>张83</t>
  </si>
  <si>
    <t>张84</t>
  </si>
  <si>
    <t>张85</t>
  </si>
  <si>
    <t>张86</t>
  </si>
  <si>
    <t>张87</t>
  </si>
  <si>
    <t>张88</t>
  </si>
  <si>
    <t>张89</t>
  </si>
  <si>
    <t>张90</t>
  </si>
  <si>
    <t>张91</t>
  </si>
  <si>
    <t>张92</t>
  </si>
  <si>
    <t>张93</t>
  </si>
  <si>
    <t>张94</t>
  </si>
  <si>
    <t>张95</t>
  </si>
  <si>
    <t>张96</t>
  </si>
  <si>
    <t>张97</t>
  </si>
  <si>
    <t>张98</t>
  </si>
  <si>
    <t>张99</t>
  </si>
  <si>
    <t>张100</t>
  </si>
  <si>
    <t>张101</t>
  </si>
  <si>
    <t>张102</t>
  </si>
  <si>
    <t>张103</t>
  </si>
  <si>
    <t>张104</t>
  </si>
  <si>
    <t>张105</t>
  </si>
  <si>
    <t>张106</t>
  </si>
  <si>
    <t>张107</t>
  </si>
  <si>
    <t>张108</t>
  </si>
  <si>
    <t>张109</t>
  </si>
  <si>
    <t>张110</t>
  </si>
  <si>
    <t>张111</t>
  </si>
  <si>
    <t>张112</t>
  </si>
  <si>
    <t>张113</t>
  </si>
  <si>
    <t>张114</t>
  </si>
  <si>
    <t>张115</t>
  </si>
  <si>
    <t>张116</t>
  </si>
  <si>
    <t>张117</t>
  </si>
  <si>
    <t>张118</t>
  </si>
  <si>
    <t>张119</t>
  </si>
  <si>
    <t>张120</t>
  </si>
  <si>
    <t>张121</t>
  </si>
  <si>
    <t>张122</t>
  </si>
  <si>
    <t>张123</t>
  </si>
  <si>
    <t>张124</t>
  </si>
  <si>
    <t>男</t>
  </si>
  <si>
    <t>男</t>
    <phoneticPr fontId="1" type="noConversion"/>
  </si>
  <si>
    <t>女</t>
  </si>
  <si>
    <t>女</t>
    <phoneticPr fontId="1" type="noConversion"/>
  </si>
  <si>
    <t>汉</t>
  </si>
  <si>
    <t>汉</t>
    <phoneticPr fontId="1" type="noConversion"/>
  </si>
  <si>
    <t>北京大学</t>
  </si>
  <si>
    <t>中国人民大学</t>
  </si>
  <si>
    <t>清华大学</t>
  </si>
  <si>
    <t>北京航空航天</t>
  </si>
  <si>
    <t>北京理工大学</t>
  </si>
  <si>
    <t>北京师范大学</t>
  </si>
  <si>
    <t>南开大学</t>
  </si>
  <si>
    <t>天津大学</t>
  </si>
  <si>
    <t>大连理工大学</t>
  </si>
  <si>
    <t>东北大学</t>
  </si>
  <si>
    <t>吉林大学</t>
  </si>
  <si>
    <t>哈尔滨工业大</t>
  </si>
  <si>
    <t>复旦大学</t>
  </si>
  <si>
    <t>同济大学</t>
  </si>
  <si>
    <t>上海交通大学</t>
  </si>
  <si>
    <t>南京大学</t>
  </si>
  <si>
    <t>东南大学</t>
  </si>
  <si>
    <t>中国矿业大学</t>
  </si>
  <si>
    <t>浙江大学</t>
  </si>
  <si>
    <t>中国科学技术</t>
  </si>
  <si>
    <t>厦门大学</t>
  </si>
  <si>
    <t>山东大学</t>
  </si>
  <si>
    <t>中国海洋大学</t>
  </si>
  <si>
    <t>武汉大学</t>
  </si>
  <si>
    <t>湖南大学</t>
  </si>
  <si>
    <t>中山大学</t>
  </si>
  <si>
    <t>华南理工大学</t>
  </si>
  <si>
    <t>重庆大学</t>
  </si>
  <si>
    <t>电子科技大学</t>
  </si>
  <si>
    <t>西安交通大学</t>
  </si>
  <si>
    <t>西北工业大学</t>
  </si>
  <si>
    <t>兰州大学</t>
  </si>
  <si>
    <t>四川大学</t>
  </si>
  <si>
    <t>中南大学</t>
  </si>
  <si>
    <t>华中科技大学</t>
  </si>
  <si>
    <t>东北大学秦皇</t>
  </si>
  <si>
    <t>山东大学威海</t>
  </si>
  <si>
    <t>北京交通大学</t>
  </si>
  <si>
    <t>北京工业大学</t>
  </si>
  <si>
    <t>北京科技大学</t>
  </si>
  <si>
    <t>北京化工大学</t>
  </si>
  <si>
    <t>北京邮电大学</t>
  </si>
  <si>
    <t>华北电力大学</t>
  </si>
  <si>
    <t>河北工业大学</t>
  </si>
  <si>
    <t>太原理工大学</t>
  </si>
  <si>
    <t>内蒙古大学</t>
  </si>
  <si>
    <t>辽宁大学</t>
  </si>
  <si>
    <t>大连海事大学</t>
  </si>
  <si>
    <t>延边大学</t>
  </si>
  <si>
    <t>哈尔滨工程大</t>
  </si>
  <si>
    <t>华东理工大学</t>
  </si>
  <si>
    <t>东华大学</t>
  </si>
  <si>
    <t>苏州大学</t>
  </si>
  <si>
    <t>南京航空航天</t>
  </si>
  <si>
    <t>南京理工大学</t>
  </si>
  <si>
    <t>河海大学</t>
  </si>
  <si>
    <t>江南大学</t>
  </si>
  <si>
    <t>安徽大学</t>
  </si>
  <si>
    <t>合肥工业大学</t>
  </si>
  <si>
    <t>福州大学</t>
  </si>
  <si>
    <t>郑州大学</t>
  </si>
  <si>
    <t>暨南大学</t>
  </si>
  <si>
    <t>海南大学</t>
  </si>
  <si>
    <t>广西大学</t>
  </si>
  <si>
    <t>西南交通大学</t>
  </si>
  <si>
    <t>贵州大学</t>
  </si>
  <si>
    <t>云南大学</t>
  </si>
  <si>
    <t>西藏大学</t>
  </si>
  <si>
    <t>西北大学</t>
  </si>
  <si>
    <t>西安电子科技</t>
  </si>
  <si>
    <t>青海大学</t>
  </si>
  <si>
    <t>宁夏大学</t>
  </si>
  <si>
    <t>新疆大学</t>
  </si>
  <si>
    <t>石河子大学</t>
  </si>
  <si>
    <t>中国地质大学</t>
  </si>
  <si>
    <t>南昌大学</t>
  </si>
  <si>
    <t>上海大学</t>
  </si>
  <si>
    <t>长安大学</t>
  </si>
  <si>
    <t>武汉理工大学</t>
  </si>
  <si>
    <t>中国石油大学</t>
  </si>
  <si>
    <t>北方工业大学</t>
  </si>
  <si>
    <t>北京服装学院</t>
  </si>
  <si>
    <t>北京印刷学院</t>
  </si>
  <si>
    <t>北京建筑大学</t>
  </si>
  <si>
    <t>北京石油化工</t>
  </si>
  <si>
    <t>北京电子科技</t>
  </si>
  <si>
    <t>天津科技大学</t>
  </si>
  <si>
    <t>天津工业大学</t>
  </si>
  <si>
    <t>中国民航大学</t>
  </si>
  <si>
    <t>天津理工大学</t>
  </si>
  <si>
    <t>河北大学</t>
  </si>
  <si>
    <t>河北科技大学</t>
  </si>
  <si>
    <t>河北建筑工程</t>
  </si>
  <si>
    <t>石家庄铁道学</t>
  </si>
  <si>
    <t>山西大学</t>
  </si>
  <si>
    <t>内蒙古工业大</t>
  </si>
  <si>
    <t>沈阳工业大学</t>
  </si>
  <si>
    <t>沈阳航空工业</t>
  </si>
  <si>
    <t>辽宁科技大学</t>
  </si>
  <si>
    <t>辽宁工程技术</t>
  </si>
  <si>
    <t>辽宁石油化工</t>
  </si>
  <si>
    <t>沈阳化工学院</t>
  </si>
  <si>
    <t>大连工业大学</t>
  </si>
  <si>
    <t>辽宁工业大学</t>
  </si>
  <si>
    <t>长春理工大学</t>
  </si>
  <si>
    <t>东北电力大学</t>
  </si>
  <si>
    <t>长春工业大学</t>
  </si>
  <si>
    <t>吉林建筑大学</t>
  </si>
  <si>
    <t>吉林化工学院</t>
  </si>
  <si>
    <t>黑龙江大学</t>
  </si>
  <si>
    <t>燕山大学</t>
  </si>
  <si>
    <t>黑龙江科技大</t>
  </si>
  <si>
    <t>大庆石油学院</t>
  </si>
  <si>
    <t>齐齐哈尔大学</t>
  </si>
  <si>
    <t>绥化学院</t>
  </si>
  <si>
    <t>上海理工大学</t>
  </si>
  <si>
    <t>上海电力学院</t>
  </si>
  <si>
    <t>南京工业大学</t>
  </si>
  <si>
    <t>江苏工业学院</t>
  </si>
  <si>
    <t>江苏大学</t>
  </si>
  <si>
    <t>盐城工学院</t>
  </si>
  <si>
    <t>常熟理工学院</t>
  </si>
  <si>
    <t>浙江工业大学</t>
  </si>
  <si>
    <t>浙江理工大学</t>
  </si>
  <si>
    <t>台州学院</t>
  </si>
  <si>
    <t>中国计量大学</t>
  </si>
  <si>
    <t>安徽工业大学</t>
  </si>
  <si>
    <t>安徽理工大学</t>
  </si>
  <si>
    <t>安徽工程科技</t>
  </si>
  <si>
    <t>华侨大学</t>
  </si>
  <si>
    <t>福建工程学院</t>
  </si>
  <si>
    <t>闽江学院</t>
  </si>
  <si>
    <t>华东交通大学</t>
  </si>
  <si>
    <t>南昌航空大学</t>
  </si>
  <si>
    <t>景德镇陶瓷学</t>
  </si>
  <si>
    <t>山东科技大学</t>
  </si>
  <si>
    <t>青岛科技大学</t>
  </si>
  <si>
    <t>山东建筑大学</t>
  </si>
  <si>
    <t>齐鲁工业大学</t>
  </si>
  <si>
    <t>聊城大学</t>
  </si>
  <si>
    <t>德州学院</t>
  </si>
  <si>
    <t>泰山学院</t>
  </si>
  <si>
    <t>郑州轻工业学</t>
  </si>
  <si>
    <t>河南科技大学</t>
  </si>
  <si>
    <t>中原工学院</t>
  </si>
  <si>
    <t>河南大学</t>
  </si>
  <si>
    <t>许昌学院</t>
  </si>
  <si>
    <t>武汉工程大学</t>
  </si>
  <si>
    <t>武汉科技学院</t>
  </si>
  <si>
    <t>武汉轻工大学</t>
  </si>
  <si>
    <t>湖北大学</t>
  </si>
  <si>
    <t>湖北文理学院</t>
  </si>
  <si>
    <t>湖北汽车工业</t>
  </si>
  <si>
    <t>湖北工程学院</t>
  </si>
  <si>
    <t>湘潭大学</t>
  </si>
  <si>
    <t>吉首大学</t>
  </si>
  <si>
    <t>湖南理工学院</t>
  </si>
  <si>
    <t>怀化学院</t>
  </si>
  <si>
    <t>湖南文理学院</t>
  </si>
  <si>
    <t>汕头大学</t>
  </si>
  <si>
    <t>韶关学院</t>
  </si>
  <si>
    <t>惠州学院</t>
  </si>
  <si>
    <t>肇庆学院</t>
  </si>
  <si>
    <t>嘉应学院</t>
  </si>
  <si>
    <t>深圳大学</t>
  </si>
  <si>
    <t>广西科技大学</t>
  </si>
  <si>
    <t>桂林电子科技</t>
  </si>
  <si>
    <t>桂林工学院</t>
  </si>
  <si>
    <t>百色学院</t>
  </si>
  <si>
    <t>西南石油大学</t>
  </si>
  <si>
    <t>成都理工大学</t>
  </si>
  <si>
    <t>重庆邮电大学</t>
  </si>
  <si>
    <t>重庆交通大学</t>
  </si>
  <si>
    <t>西南科技大学</t>
  </si>
  <si>
    <t>成都信息工程</t>
  </si>
  <si>
    <t>中国民用航空</t>
  </si>
  <si>
    <t>宜宾学院</t>
  </si>
  <si>
    <t>重庆三峡学院</t>
  </si>
  <si>
    <t>四川文理学院</t>
  </si>
  <si>
    <t>昆明理工大学</t>
  </si>
  <si>
    <t>大理大学</t>
  </si>
  <si>
    <t>西安理工大学</t>
  </si>
  <si>
    <t>西安工业大学</t>
  </si>
  <si>
    <t>西安建筑科技</t>
  </si>
  <si>
    <t>陕西科技大学</t>
  </si>
  <si>
    <t>西安工程大学</t>
  </si>
  <si>
    <t>延安大学</t>
  </si>
  <si>
    <t>兰州理工大学</t>
  </si>
  <si>
    <t>河西学院</t>
  </si>
  <si>
    <t>塔里木大学</t>
  </si>
  <si>
    <t>北京信息科技</t>
  </si>
  <si>
    <t>天津城建大学</t>
  </si>
  <si>
    <t>呼伦贝尔学院</t>
  </si>
  <si>
    <t>上海工程技术</t>
  </si>
  <si>
    <t>浙江万里学院</t>
  </si>
  <si>
    <t>安徽建筑大学</t>
  </si>
  <si>
    <t>枣庄学院</t>
  </si>
  <si>
    <t>湖北科技学院</t>
  </si>
  <si>
    <t>沈阳大学</t>
  </si>
  <si>
    <t>淮阴工学院</t>
  </si>
  <si>
    <t>徐州工程学院</t>
  </si>
  <si>
    <t>常州工学院</t>
  </si>
  <si>
    <t>浙江科技学院</t>
  </si>
  <si>
    <t>宁波工程学院</t>
  </si>
  <si>
    <t>合肥学院</t>
  </si>
  <si>
    <t>烟台大学</t>
  </si>
  <si>
    <t>洛阳理工学院</t>
  </si>
  <si>
    <t>新乡学院</t>
  </si>
  <si>
    <t>江汉大学</t>
  </si>
  <si>
    <t>广州大学</t>
  </si>
  <si>
    <t>华北科技学院</t>
  </si>
  <si>
    <t>扬州大学</t>
  </si>
  <si>
    <t>大连大学</t>
  </si>
  <si>
    <t>温州大学</t>
  </si>
  <si>
    <t>五邑大学</t>
  </si>
  <si>
    <t>攀枝花学院</t>
  </si>
  <si>
    <t>北京联合大学</t>
  </si>
  <si>
    <t>佳木斯大学</t>
  </si>
  <si>
    <t>莆田学院</t>
  </si>
  <si>
    <t>山东交通学院</t>
  </si>
  <si>
    <t>淮海工学院</t>
  </si>
  <si>
    <t>宁波大学</t>
  </si>
  <si>
    <t>南阳理工学院</t>
  </si>
  <si>
    <t>广东石油化工</t>
  </si>
  <si>
    <t>重庆理工大学</t>
  </si>
  <si>
    <t>西安邮电学院</t>
  </si>
  <si>
    <t>山东工商学院</t>
  </si>
  <si>
    <t>长春大学</t>
  </si>
  <si>
    <t>平顶山工学院</t>
  </si>
  <si>
    <t>防灾科技学院</t>
  </si>
  <si>
    <t>东莞理工学院</t>
  </si>
  <si>
    <t>首钢工学院</t>
  </si>
  <si>
    <t>集美大学</t>
  </si>
  <si>
    <t>青岛大学</t>
  </si>
  <si>
    <t>佛山科学技术</t>
  </si>
  <si>
    <t>广东工业大学</t>
  </si>
  <si>
    <t>哈尔滨理工大</t>
  </si>
  <si>
    <t>武汉科技大学</t>
  </si>
  <si>
    <t>北华大学</t>
  </si>
  <si>
    <t>长春工程学院</t>
  </si>
  <si>
    <t>哈尔滨学院</t>
  </si>
  <si>
    <t>黑龙江工程学</t>
  </si>
  <si>
    <t>潍坊学院</t>
  </si>
  <si>
    <t>三峡大学</t>
  </si>
  <si>
    <t>南华大学</t>
  </si>
  <si>
    <t>宜春学院</t>
  </si>
  <si>
    <t>济南大学</t>
  </si>
  <si>
    <t>内蒙古民族大</t>
  </si>
  <si>
    <t>湖南工程学院</t>
  </si>
  <si>
    <t>南京工程学院</t>
  </si>
  <si>
    <t>苏州科技学院</t>
  </si>
  <si>
    <t>陕西理工学院</t>
  </si>
  <si>
    <t>九江学院</t>
  </si>
  <si>
    <t>唐山学院</t>
  </si>
  <si>
    <t>邵阳学院</t>
  </si>
  <si>
    <t>湖南城市学院</t>
  </si>
  <si>
    <t>山东理工大学</t>
  </si>
  <si>
    <t>黑河学院</t>
  </si>
  <si>
    <t>四川理工学院</t>
  </si>
  <si>
    <t>上海第二工业</t>
  </si>
  <si>
    <t>北华航天工业</t>
  </si>
  <si>
    <t>北京大学医学</t>
  </si>
  <si>
    <t>长江大学</t>
  </si>
  <si>
    <t>长沙理工大学</t>
  </si>
  <si>
    <t>长沙学院</t>
  </si>
  <si>
    <t>大连交通大学</t>
  </si>
  <si>
    <t>杭州电子科技</t>
  </si>
  <si>
    <t>河北工程大学</t>
  </si>
  <si>
    <t>河南工业大学</t>
  </si>
  <si>
    <t>河南理工大学</t>
  </si>
  <si>
    <t>红河学院</t>
  </si>
  <si>
    <t>湖南工业大学</t>
  </si>
  <si>
    <t>湖南科技大学</t>
  </si>
  <si>
    <t>华北水利水电</t>
  </si>
  <si>
    <t>江苏科技大学</t>
  </si>
  <si>
    <t>江西理工大学</t>
  </si>
  <si>
    <t>金陵科技学院</t>
  </si>
  <si>
    <t>井冈山大学</t>
  </si>
  <si>
    <t>兰州交通大学</t>
  </si>
  <si>
    <t>内蒙古科技大</t>
  </si>
  <si>
    <t>南昌工程学院</t>
  </si>
  <si>
    <t>南京信息工程</t>
  </si>
  <si>
    <t>南京邮电大学</t>
  </si>
  <si>
    <t>南通大学</t>
  </si>
  <si>
    <t>青岛理工大学</t>
  </si>
  <si>
    <t>上海海事大学</t>
  </si>
  <si>
    <t>沈阳建筑大学</t>
  </si>
  <si>
    <t>沈阳理工大学</t>
  </si>
  <si>
    <t>太原科技大学</t>
  </si>
  <si>
    <t>西安科技大学</t>
  </si>
  <si>
    <t>西安石油大学</t>
  </si>
  <si>
    <t>香港城市大学</t>
  </si>
  <si>
    <t>中北大学</t>
  </si>
  <si>
    <t>太原工业学院</t>
  </si>
  <si>
    <t>重庆工商大学</t>
  </si>
  <si>
    <t>重庆科技学院</t>
  </si>
  <si>
    <t>重庆文理学院</t>
  </si>
  <si>
    <t>湖北工业大学</t>
  </si>
  <si>
    <t>西华大学</t>
  </si>
  <si>
    <t>厦门理工学院</t>
  </si>
  <si>
    <t>宁波诺丁汉大</t>
  </si>
  <si>
    <t>香港教育学院</t>
  </si>
  <si>
    <t>西交利物浦大</t>
  </si>
  <si>
    <t>梧州学院</t>
  </si>
  <si>
    <t>山西大同大学</t>
  </si>
  <si>
    <t>鲁东大学</t>
  </si>
  <si>
    <t>河北理工大学</t>
  </si>
  <si>
    <t>安阳工学院</t>
  </si>
  <si>
    <t>湖北理工学院</t>
  </si>
  <si>
    <t>渤海大学</t>
  </si>
  <si>
    <t>菏泽学院</t>
  </si>
  <si>
    <t>东华理工大学</t>
  </si>
  <si>
    <t>湘南学院</t>
  </si>
  <si>
    <t>贺州学院</t>
  </si>
  <si>
    <t>钦州学院</t>
  </si>
  <si>
    <t>西昌学院</t>
  </si>
  <si>
    <t>安康学院</t>
  </si>
  <si>
    <t>琼州学院</t>
  </si>
  <si>
    <t>三明学院</t>
  </si>
  <si>
    <t>大庆师范学院</t>
  </si>
  <si>
    <t>兰州城市学院</t>
  </si>
  <si>
    <t>广东白云学院</t>
  </si>
  <si>
    <t>青岛滨海学院</t>
  </si>
  <si>
    <t>湖南科技学院</t>
  </si>
  <si>
    <t>北京城市学院</t>
  </si>
  <si>
    <t>黑龙江工业学</t>
  </si>
  <si>
    <t>仰恩大学</t>
  </si>
  <si>
    <t>黄河科技学院</t>
  </si>
  <si>
    <t>浙江树人学院</t>
  </si>
  <si>
    <t>三江学院</t>
  </si>
  <si>
    <t>黑龙江东方学</t>
  </si>
  <si>
    <t>上海应用技术</t>
  </si>
  <si>
    <t>亳州学院</t>
  </si>
  <si>
    <t>安徽新华学院</t>
  </si>
  <si>
    <t>烟台南山学院</t>
  </si>
  <si>
    <t>上海建桥学院</t>
  </si>
  <si>
    <t>江西科技学院</t>
  </si>
  <si>
    <t>宁夏理工学院</t>
  </si>
  <si>
    <t>泉州信息工程</t>
  </si>
  <si>
    <t>天津天狮学院</t>
  </si>
  <si>
    <t>上海海关学院</t>
  </si>
  <si>
    <t>宁波大红鹰学</t>
  </si>
  <si>
    <t>蚌埠学院</t>
  </si>
  <si>
    <t>安徽三联学院</t>
  </si>
  <si>
    <t>闽南理工学院</t>
  </si>
  <si>
    <t>潍坊科技学院</t>
  </si>
  <si>
    <t>山东英才学院</t>
  </si>
  <si>
    <t>河南工程学院</t>
  </si>
  <si>
    <t>郑州华信学院</t>
  </si>
  <si>
    <t>郑州科技学院</t>
  </si>
  <si>
    <t>荆楚理工学院</t>
  </si>
  <si>
    <t>成都学院</t>
  </si>
  <si>
    <t>昆明学院</t>
  </si>
  <si>
    <t>西安思源学院</t>
  </si>
  <si>
    <t>黑龙江工商学</t>
  </si>
  <si>
    <t>湖南涉外经济</t>
  </si>
  <si>
    <t>辽宁科技学院</t>
  </si>
  <si>
    <t>南昌理工学院</t>
  </si>
  <si>
    <t>沈阳工程学院</t>
  </si>
  <si>
    <t>西安培华学院</t>
  </si>
  <si>
    <t>武汉生物工程</t>
  </si>
  <si>
    <t>西京学院</t>
  </si>
  <si>
    <t>商洛学院</t>
  </si>
  <si>
    <t>安顺学院</t>
  </si>
  <si>
    <t>凯里学院</t>
  </si>
  <si>
    <t>上海电机学院</t>
  </si>
  <si>
    <t>湖南工学院</t>
  </si>
  <si>
    <t>贵州工程应用</t>
  </si>
  <si>
    <t>贵阳学院</t>
  </si>
  <si>
    <t>铜仁学院</t>
  </si>
  <si>
    <t>赤峰学院</t>
  </si>
  <si>
    <t>吉林动画学院</t>
  </si>
  <si>
    <t>安徽信息工程</t>
  </si>
  <si>
    <t>西南大学(荣</t>
  </si>
  <si>
    <t>中州大学</t>
  </si>
  <si>
    <t>开封大学</t>
  </si>
  <si>
    <t>焦作大学</t>
  </si>
  <si>
    <t>兰州文理学院</t>
  </si>
  <si>
    <t>重庆电力高等</t>
  </si>
  <si>
    <t>河北工程技术</t>
  </si>
  <si>
    <t>南宁师范高等</t>
  </si>
  <si>
    <t>保山学院</t>
  </si>
  <si>
    <t>景德镇学院</t>
  </si>
  <si>
    <t>萍乡学院</t>
  </si>
  <si>
    <t>六盘水师范高</t>
  </si>
  <si>
    <t>新疆工业高等</t>
  </si>
  <si>
    <t>天津职业大学</t>
  </si>
  <si>
    <t>抚顺职业技术</t>
  </si>
  <si>
    <t>牡丹江大学</t>
  </si>
  <si>
    <t>镇江市高等专</t>
  </si>
  <si>
    <t>南通职业大学</t>
  </si>
  <si>
    <t>广州航海高等</t>
  </si>
  <si>
    <t>成都工业学院</t>
  </si>
  <si>
    <t>私立华联学院</t>
  </si>
  <si>
    <t>太原大学</t>
  </si>
  <si>
    <t>阜新高等专科</t>
  </si>
  <si>
    <t>沙洲职业工学</t>
  </si>
  <si>
    <t>淮南联合大学</t>
  </si>
  <si>
    <t>黎明职业大学</t>
  </si>
  <si>
    <t>河南机电高等</t>
  </si>
  <si>
    <t>鄂州职业大学</t>
  </si>
  <si>
    <t>集宁师范高等</t>
  </si>
  <si>
    <t>长春汽车工业</t>
  </si>
  <si>
    <t>扬州市职业大</t>
  </si>
  <si>
    <t>浙江水利水电</t>
  </si>
  <si>
    <t>福建华南女子</t>
  </si>
  <si>
    <t>辽宁交通高等</t>
  </si>
  <si>
    <t>九江职业大学</t>
  </si>
  <si>
    <t>新余高等专科</t>
  </si>
  <si>
    <t>邕江大学</t>
  </si>
  <si>
    <t>四川旅游学院</t>
  </si>
  <si>
    <t>成都纺织高等</t>
  </si>
  <si>
    <t>昆明冶金高等</t>
  </si>
  <si>
    <t>乌鲁木齐职业</t>
  </si>
  <si>
    <t>内蒙古民族高</t>
  </si>
  <si>
    <t>上海出版印刷</t>
  </si>
  <si>
    <t>西安航空技术</t>
  </si>
  <si>
    <t>承德石油高等</t>
  </si>
  <si>
    <t>兰州工业高等</t>
  </si>
  <si>
    <t>邢台职业技术</t>
  </si>
  <si>
    <t>桂林航天工业</t>
  </si>
  <si>
    <t>西安电力高等</t>
  </si>
  <si>
    <t>郑州电力高等</t>
  </si>
  <si>
    <t>长沙航空职业</t>
  </si>
  <si>
    <t>北京工业职业</t>
  </si>
  <si>
    <t>北京信息职业</t>
  </si>
  <si>
    <t>北京京北职业</t>
  </si>
  <si>
    <t>北京北大方正</t>
  </si>
  <si>
    <t>天津滨海职业</t>
  </si>
  <si>
    <t>天津工程职业</t>
  </si>
  <si>
    <t>天津现代职业</t>
  </si>
  <si>
    <t>天津轻工职业</t>
  </si>
  <si>
    <t>天津电子信息</t>
  </si>
  <si>
    <t>天津机电职业</t>
  </si>
  <si>
    <t>天津渤海职业</t>
  </si>
  <si>
    <t>天津中德职业</t>
  </si>
  <si>
    <t>天津交通职业</t>
  </si>
  <si>
    <t>天津开发区职</t>
  </si>
  <si>
    <t>河北工业职业</t>
  </si>
  <si>
    <t>邯郸职业技术</t>
  </si>
  <si>
    <t>石家庄职业技</t>
  </si>
  <si>
    <t>张家口职业技</t>
  </si>
  <si>
    <t>沧州职业技术</t>
  </si>
  <si>
    <t>石家庄铁路职</t>
  </si>
  <si>
    <t>河北能源职业</t>
  </si>
  <si>
    <t>保定职业技术</t>
  </si>
  <si>
    <t>河北建材职业</t>
  </si>
  <si>
    <t>河北石油职业</t>
  </si>
  <si>
    <t>秦皇岛职业技</t>
  </si>
  <si>
    <t>唐山工业职业</t>
  </si>
  <si>
    <t>石家庄计算机</t>
  </si>
  <si>
    <t>河北省艺术职</t>
  </si>
  <si>
    <t>河北交通职业</t>
  </si>
  <si>
    <t>河北化工医药</t>
  </si>
  <si>
    <t>石家庄信息工</t>
  </si>
  <si>
    <t>山西建筑职业</t>
  </si>
  <si>
    <t>山西工程职业</t>
  </si>
  <si>
    <t>晋城职业技术</t>
  </si>
  <si>
    <t>北岳职业技术</t>
  </si>
  <si>
    <t>山西交通职业</t>
  </si>
  <si>
    <t>山西兴华职业</t>
  </si>
  <si>
    <t>长治职业技术</t>
  </si>
  <si>
    <t>阳泉职业技术</t>
  </si>
  <si>
    <t>山西水利职业</t>
  </si>
  <si>
    <t>山西机电职业</t>
  </si>
  <si>
    <t>山西综合职业</t>
  </si>
  <si>
    <t>太原城市职业</t>
  </si>
  <si>
    <t>山西煤炭职业</t>
  </si>
  <si>
    <t>包头职业技术</t>
  </si>
  <si>
    <t>内蒙古建筑职</t>
  </si>
  <si>
    <t>包头轻工职业</t>
  </si>
  <si>
    <t>呼和浩特职业</t>
  </si>
  <si>
    <t>渤海船舶职业</t>
  </si>
  <si>
    <t>盘锦职业技术</t>
  </si>
  <si>
    <t>大连职业技术</t>
  </si>
  <si>
    <t>辽阳职业技术</t>
  </si>
  <si>
    <t>营口职业技术</t>
  </si>
  <si>
    <t>大连东软信息</t>
  </si>
  <si>
    <t>辽宁石化职业</t>
  </si>
  <si>
    <t>辽宁经济职业</t>
  </si>
  <si>
    <t>辽宁机电职业</t>
  </si>
  <si>
    <t>辽宁信息职业</t>
  </si>
  <si>
    <t>沈阳航空职业</t>
  </si>
  <si>
    <t>沈阳职业技术</t>
  </si>
  <si>
    <t>吉林交通职业</t>
  </si>
  <si>
    <t>辽源职业技术</t>
  </si>
  <si>
    <t>吉林电子信息</t>
  </si>
  <si>
    <t>吉林工业职业</t>
  </si>
  <si>
    <t>长春职业技术</t>
  </si>
  <si>
    <t>黑龙江建筑职</t>
  </si>
  <si>
    <t>伊春职业学院</t>
  </si>
  <si>
    <t>齐齐哈尔职业</t>
  </si>
  <si>
    <t>大庆职业学院</t>
  </si>
  <si>
    <t>哈尔滨职业技</t>
  </si>
  <si>
    <t>哈尔滨电力职</t>
  </si>
  <si>
    <t>哈尔滨铁道职</t>
  </si>
  <si>
    <t>大兴安岭职业</t>
  </si>
  <si>
    <t>黑龙江职业学</t>
  </si>
  <si>
    <t>哈尔滨华夏计</t>
  </si>
  <si>
    <t>黑龙江工商职</t>
  </si>
  <si>
    <t>上海建峰职业</t>
  </si>
  <si>
    <t>上海科学技术</t>
  </si>
  <si>
    <t>上海海事职业</t>
  </si>
  <si>
    <t>上海电子信息</t>
  </si>
  <si>
    <t>上海民航职业</t>
  </si>
  <si>
    <t>上海城市管理</t>
  </si>
  <si>
    <t>连云港职业技</t>
  </si>
  <si>
    <t>南京工业职业</t>
  </si>
  <si>
    <t>徐州建筑职业</t>
  </si>
  <si>
    <t>泰州职业技术</t>
  </si>
  <si>
    <t>无锡职业技术</t>
  </si>
  <si>
    <t>南通纺织职业</t>
  </si>
  <si>
    <t>常州信息职业</t>
  </si>
  <si>
    <t>本科</t>
  </si>
  <si>
    <t>高职专科</t>
  </si>
  <si>
    <t>计算机网络技术</t>
  </si>
  <si>
    <t>软件技术</t>
  </si>
  <si>
    <t>大数据技术</t>
  </si>
  <si>
    <t>专科</t>
    <phoneticPr fontId="1" type="noConversion"/>
  </si>
  <si>
    <t>软件工程</t>
  </si>
  <si>
    <t>电子与计算机工程</t>
  </si>
  <si>
    <t>数据科学与大数据技术</t>
  </si>
  <si>
    <t>新媒体技术</t>
  </si>
  <si>
    <t>保密技术</t>
  </si>
  <si>
    <t>本科</t>
    <phoneticPr fontId="1" type="noConversion"/>
  </si>
  <si>
    <t>软件开发</t>
  </si>
  <si>
    <t>软件开发</t>
    <phoneticPr fontId="1" type="noConversion"/>
  </si>
  <si>
    <t>电子商务</t>
  </si>
  <si>
    <t>数据分析</t>
  </si>
  <si>
    <t>数据分析</t>
    <phoneticPr fontId="1" type="noConversion"/>
  </si>
  <si>
    <t>电子商务运营</t>
  </si>
  <si>
    <t>电子商务运营</t>
    <phoneticPr fontId="1" type="noConversion"/>
  </si>
  <si>
    <t>新媒体运营</t>
  </si>
  <si>
    <t>新媒体运营</t>
    <phoneticPr fontId="1" type="noConversion"/>
  </si>
  <si>
    <t>跨境电子商务</t>
  </si>
  <si>
    <t>移动商务</t>
  </si>
  <si>
    <t>商务数据分析与应用</t>
  </si>
  <si>
    <t>统计与大数据分析</t>
  </si>
  <si>
    <t>统计学</t>
  </si>
  <si>
    <t>应用统计学</t>
  </si>
  <si>
    <t>数学与应用数学</t>
  </si>
  <si>
    <t>信息与计算科学</t>
  </si>
  <si>
    <t>数理基础科学</t>
  </si>
  <si>
    <t>数据计算及应用</t>
  </si>
  <si>
    <t>前端</t>
  </si>
  <si>
    <t>前端</t>
    <phoneticPr fontId="1" type="noConversion"/>
  </si>
  <si>
    <t>电子商务数据分析</t>
  </si>
  <si>
    <t>电子商务数据分析</t>
    <phoneticPr fontId="1" type="noConversion"/>
  </si>
  <si>
    <t>Excel,Matlab,Hadoop,Python,Spark,NumPy,Pandas,Charles</t>
  </si>
  <si>
    <t>Excel,Hive,Python</t>
  </si>
  <si>
    <t>Excel,SQL</t>
  </si>
  <si>
    <t>Python,Excel,SQL,Tableau,聚类分析,因子分析,相关分析</t>
  </si>
  <si>
    <t>Excel,SQL,Python,相关分析,统计分析</t>
  </si>
  <si>
    <t>SQL,Python</t>
  </si>
  <si>
    <t>SQL</t>
  </si>
  <si>
    <t>AXURE,word、PPT,PD、EA,BI</t>
  </si>
  <si>
    <t>SQL,Power BI,Python</t>
  </si>
  <si>
    <t>分析</t>
  </si>
  <si>
    <t>SPSS,SAS</t>
  </si>
  <si>
    <t>Excel,SPSS,SQL,Python</t>
  </si>
  <si>
    <t>Spark,方差分析,INFOSYS,回归分析,参数检验,Flume,SPSS,Python</t>
  </si>
  <si>
    <t>SQL,Scala,Spark,Kafka,HADOOP,Java,Linux,架构</t>
  </si>
  <si>
    <t>SPSS,SAS,Python</t>
  </si>
  <si>
    <t>反欺诈,网安,公安</t>
  </si>
  <si>
    <t>Excel,Matlab,Python,Spark,Charles,NumPy,Hadoop,Pandas</t>
  </si>
  <si>
    <t>Python,Excel</t>
  </si>
  <si>
    <t>数学/统计学专业,项目型产品</t>
  </si>
  <si>
    <t>业务分析,Hive</t>
  </si>
  <si>
    <t>Excel</t>
  </si>
  <si>
    <t>SQL,Excel,Python</t>
  </si>
  <si>
    <t>Python,Tableau</t>
  </si>
  <si>
    <t>R语言,数据挖掘,数据建模</t>
  </si>
  <si>
    <t>Python,SQL,数据挖掘,数据分析</t>
  </si>
  <si>
    <t>数据分析,数据挖掘,Python</t>
  </si>
  <si>
    <t>Azkaban,Hive,Python,Java,Scala</t>
  </si>
  <si>
    <t>SQL,Python,Excel</t>
  </si>
  <si>
    <t>项目型产品</t>
  </si>
  <si>
    <t>SQL,相关分析,Python,Excel</t>
  </si>
  <si>
    <t>Tableau</t>
  </si>
  <si>
    <t>SQL,Python,Excel,SPSS</t>
  </si>
  <si>
    <t>电商运营</t>
    <phoneticPr fontId="1" type="noConversion"/>
  </si>
  <si>
    <t>跨境电商运营，店铺运营，平台商家运营</t>
  </si>
  <si>
    <t>跨境电商运营，店铺运营，平台商家运营</t>
    <phoneticPr fontId="1" type="noConversion"/>
  </si>
  <si>
    <t>C端用户运营，店铺运营</t>
  </si>
  <si>
    <t>C端用户运营，店铺运营</t>
    <phoneticPr fontId="1" type="noConversion"/>
  </si>
  <si>
    <t>数据分析，直播电商，电商活动运营</t>
  </si>
  <si>
    <t>数据分析，直播电商，电商活动运营</t>
    <phoneticPr fontId="1" type="noConversion"/>
  </si>
  <si>
    <t>营销推广，竞品分析</t>
  </si>
  <si>
    <t>营销推广，竞品分析</t>
    <phoneticPr fontId="1" type="noConversion"/>
  </si>
  <si>
    <t>电商运营，店铺推广</t>
  </si>
  <si>
    <t>电商运营，店铺推广</t>
    <phoneticPr fontId="1" type="noConversion"/>
  </si>
  <si>
    <t>.net,java</t>
  </si>
  <si>
    <t>.net,java</t>
    <phoneticPr fontId="1" type="noConversion"/>
  </si>
  <si>
    <t>sql,.net,Spring</t>
  </si>
  <si>
    <t>sql,.net,Spring</t>
    <phoneticPr fontId="1" type="noConversion"/>
  </si>
  <si>
    <t>python,go</t>
  </si>
  <si>
    <t>python,go</t>
    <phoneticPr fontId="1" type="noConversion"/>
  </si>
  <si>
    <t>HTML,CSS</t>
  </si>
  <si>
    <t>HTML,CSS</t>
    <phoneticPr fontId="1" type="noConversion"/>
  </si>
  <si>
    <r>
      <t>Spring,Redis,MySQL,</t>
    </r>
    <r>
      <rPr>
        <sz val="14"/>
        <color rgb="FF000000"/>
        <rFont val="等线"/>
        <family val="3"/>
        <charset val="134"/>
      </rPr>
      <t>后端开发</t>
    </r>
    <phoneticPr fontId="1" type="noConversion"/>
  </si>
  <si>
    <t>Hibernate,Dubbo,Oracle</t>
  </si>
  <si>
    <t>Hibernate,Dubbo,Oracle</t>
    <phoneticPr fontId="1" type="noConversion"/>
  </si>
  <si>
    <r>
      <t>C#,C++,.NET,MVC</t>
    </r>
    <r>
      <rPr>
        <sz val="14"/>
        <color rgb="FF000000"/>
        <rFont val="等线"/>
        <family val="3"/>
        <charset val="134"/>
      </rPr>
      <t>开发</t>
    </r>
    <phoneticPr fontId="1" type="noConversion"/>
  </si>
  <si>
    <t>LINQ,WPF</t>
  </si>
  <si>
    <t>LINQ,WPF</t>
    <phoneticPr fontId="1" type="noConversion"/>
  </si>
  <si>
    <t>自媒体运营,公众号运营,活动文案</t>
  </si>
  <si>
    <t>自媒体运营,公众号运营,活动文案</t>
    <phoneticPr fontId="1" type="noConversion"/>
  </si>
  <si>
    <t>视频剪辑,短视频,创意</t>
  </si>
  <si>
    <t>视频剪辑,短视频,创意</t>
    <phoneticPr fontId="1" type="noConversion"/>
  </si>
  <si>
    <t>活动策划,软文推广,H5制作</t>
  </si>
  <si>
    <t>活动策划,软文推广,H5制作</t>
    <phoneticPr fontId="1" type="noConversion"/>
  </si>
  <si>
    <t>新媒体运营,电商运营</t>
  </si>
  <si>
    <t>新媒体运营,电商运营</t>
    <phoneticPr fontId="1" type="noConversion"/>
  </si>
  <si>
    <t>策划热点事件,专业脚本,时尚</t>
  </si>
  <si>
    <t>策划热点事件,专业脚本,时尚</t>
    <phoneticPr fontId="1" type="noConversion"/>
  </si>
  <si>
    <t>公众号/朋友圈运营,社群运营</t>
  </si>
  <si>
    <t>公众号/朋友圈运营,社群运营</t>
    <phoneticPr fontId="1" type="noConversion"/>
  </si>
  <si>
    <t>前端开发,JavaScript,Web端</t>
    <phoneticPr fontId="1" type="noConversion"/>
  </si>
  <si>
    <r>
      <t>PC</t>
    </r>
    <r>
      <rPr>
        <sz val="14"/>
        <color rgb="FF000000"/>
        <rFont val="等线"/>
        <family val="3"/>
        <charset val="134"/>
      </rPr>
      <t>端</t>
    </r>
    <r>
      <rPr>
        <sz val="14"/>
        <color rgb="FF000000"/>
        <rFont val="Courier New"/>
        <family val="3"/>
      </rPr>
      <t>,Linux</t>
    </r>
    <phoneticPr fontId="1" type="noConversion"/>
  </si>
  <si>
    <r>
      <t>Web</t>
    </r>
    <r>
      <rPr>
        <sz val="14"/>
        <color rgb="FF000000"/>
        <rFont val="微软雅黑"/>
        <family val="2"/>
        <charset val="134"/>
      </rPr>
      <t>端,</t>
    </r>
    <r>
      <rPr>
        <sz val="14"/>
        <color rgb="FF000000"/>
        <rFont val="等线"/>
        <family val="2"/>
        <charset val="134"/>
      </rPr>
      <t>小程序,</t>
    </r>
    <r>
      <rPr>
        <sz val="14"/>
        <color rgb="FF000000"/>
        <rFont val="Courier New"/>
        <family val="2"/>
      </rPr>
      <t>Android,CSS,HTML</t>
    </r>
    <phoneticPr fontId="1" type="noConversion"/>
  </si>
  <si>
    <t>JavaScript,Web端,前端开发</t>
    <phoneticPr fontId="1" type="noConversion"/>
  </si>
  <si>
    <t>Node.js,HTML,CSS,JavaScript,ES6</t>
    <phoneticPr fontId="1" type="noConversion"/>
  </si>
  <si>
    <t>HTML,CSS,JavaScript,Web端,移动端,AJAX</t>
    <phoneticPr fontId="1" type="noConversion"/>
  </si>
  <si>
    <t>Hibernate,Dubbo</t>
  </si>
  <si>
    <t>Hibernate,Dubbo</t>
    <phoneticPr fontId="1" type="noConversion"/>
  </si>
  <si>
    <t>姓名</t>
  </si>
  <si>
    <t>性别</t>
  </si>
  <si>
    <t>籍贯</t>
  </si>
  <si>
    <t>民族</t>
  </si>
  <si>
    <t>出生日期</t>
  </si>
  <si>
    <t>学历</t>
  </si>
  <si>
    <t>毕业院校</t>
  </si>
  <si>
    <t>专业</t>
  </si>
  <si>
    <t>求职意向</t>
  </si>
  <si>
    <t>职业技能</t>
  </si>
  <si>
    <t>工作经验</t>
  </si>
  <si>
    <t>1992-1-6</t>
  </si>
  <si>
    <t>1998-4-22</t>
  </si>
  <si>
    <t>1992-7-25</t>
  </si>
  <si>
    <t>1988-1-21</t>
  </si>
  <si>
    <t>1997-9-8</t>
  </si>
  <si>
    <t>1995-11-1</t>
  </si>
  <si>
    <t>1992-3-2</t>
  </si>
  <si>
    <t>1991-3-9</t>
  </si>
  <si>
    <t>1996-9-13</t>
  </si>
  <si>
    <t>1996-4-17</t>
  </si>
  <si>
    <t>1989-8-26</t>
  </si>
  <si>
    <t>1989-11-11</t>
  </si>
  <si>
    <t>1990-2-25</t>
  </si>
  <si>
    <t>1991-9-1</t>
  </si>
  <si>
    <t>1996-2-2</t>
  </si>
  <si>
    <t>1989-4-7</t>
  </si>
  <si>
    <t>1996-6-25</t>
  </si>
  <si>
    <t>1998-8-8</t>
  </si>
  <si>
    <t>1997-11-3</t>
  </si>
  <si>
    <t>1989-8-6</t>
  </si>
  <si>
    <t>1989-3-15</t>
  </si>
  <si>
    <t>C#,C++,.NET,MVC开发</t>
  </si>
  <si>
    <t>1994-3-22</t>
  </si>
  <si>
    <t>Spring,Redis,MySQL,后端开发</t>
  </si>
  <si>
    <t>1988-10-29</t>
  </si>
  <si>
    <t>1992-10-25</t>
  </si>
  <si>
    <t>1997-10-26</t>
  </si>
  <si>
    <t>1990-8-4</t>
  </si>
  <si>
    <t>1989-5-19</t>
  </si>
  <si>
    <t>1994-12-10</t>
  </si>
  <si>
    <t>1987-6-9</t>
  </si>
  <si>
    <t>1993-7-3</t>
  </si>
  <si>
    <t>1994-3-6</t>
  </si>
  <si>
    <t>1989-10-19</t>
  </si>
  <si>
    <t>1987-2-27</t>
  </si>
  <si>
    <t>1989-3-23</t>
  </si>
  <si>
    <t>1997-9-3</t>
  </si>
  <si>
    <t>1997-6-22</t>
  </si>
  <si>
    <t>1998-12-3</t>
  </si>
  <si>
    <t>1992-6-4</t>
  </si>
  <si>
    <t>1989-8-12</t>
  </si>
  <si>
    <t>1991-8-19</t>
  </si>
  <si>
    <t>1988-6-8</t>
  </si>
  <si>
    <t>1996-2-25</t>
  </si>
  <si>
    <t>1990-8-5</t>
  </si>
  <si>
    <t>1994-8-3</t>
  </si>
  <si>
    <t>1991-3-30</t>
  </si>
  <si>
    <t>1989-8-17</t>
  </si>
  <si>
    <t>1998-5-25</t>
  </si>
  <si>
    <t>1988-4-11</t>
  </si>
  <si>
    <t>PC端,Linux</t>
  </si>
  <si>
    <t>1993-5-30</t>
  </si>
  <si>
    <t>1990-12-13</t>
  </si>
  <si>
    <t>1989-2-14</t>
  </si>
  <si>
    <t>1997-7-28</t>
  </si>
  <si>
    <t>1992-1-25</t>
  </si>
  <si>
    <t>1989-1-6</t>
  </si>
  <si>
    <t>1988-6-5</t>
  </si>
  <si>
    <t>1990-6-5</t>
  </si>
  <si>
    <t>1989-3-29</t>
  </si>
  <si>
    <t>1995-8-13</t>
  </si>
  <si>
    <t>1989-12-2</t>
  </si>
  <si>
    <t>1995-4-17</t>
  </si>
  <si>
    <t>1987-5-4</t>
  </si>
  <si>
    <t>1990-3-29</t>
  </si>
  <si>
    <t>1987-5-28</t>
  </si>
  <si>
    <t>1991-2-30</t>
  </si>
  <si>
    <t>1997-7-7</t>
  </si>
  <si>
    <t>1989-1-20</t>
  </si>
  <si>
    <t>1997-3-9</t>
  </si>
  <si>
    <t>1991-3-10</t>
  </si>
  <si>
    <t>1993-12-12</t>
  </si>
  <si>
    <t>1997-10-16</t>
  </si>
  <si>
    <t>1989-2-17</t>
  </si>
  <si>
    <t>1994-5-25</t>
  </si>
  <si>
    <t>1989-3-3</t>
  </si>
  <si>
    <t>1996-10-9</t>
  </si>
  <si>
    <t>1993-5-9</t>
  </si>
  <si>
    <t>1998-6-2</t>
  </si>
  <si>
    <t>Web端,小程序,Android,CSS,HTML</t>
  </si>
  <si>
    <t>1989-1-30</t>
  </si>
  <si>
    <t>1992-2-9</t>
  </si>
  <si>
    <t>1995-1-26</t>
  </si>
  <si>
    <t>1990-7-30</t>
  </si>
  <si>
    <t>1987-2-16</t>
  </si>
  <si>
    <t>1998-6-27</t>
  </si>
  <si>
    <t>1992-10-18</t>
  </si>
  <si>
    <t>1992-1-22</t>
  </si>
  <si>
    <t>1998-3-2</t>
  </si>
  <si>
    <t>1990-2-21</t>
  </si>
  <si>
    <t>1994-3-8</t>
  </si>
  <si>
    <t>1994-4-6</t>
  </si>
  <si>
    <t>1993-5-17</t>
  </si>
  <si>
    <t>1993-7-28</t>
  </si>
  <si>
    <t>1991-4-12</t>
  </si>
  <si>
    <t>1994-7-11</t>
  </si>
  <si>
    <t>1991-11-27</t>
  </si>
  <si>
    <t>1990-8-25</t>
  </si>
  <si>
    <t>1998-2-27</t>
  </si>
  <si>
    <t>1997-4-30</t>
  </si>
  <si>
    <t>1988-5-25</t>
  </si>
  <si>
    <t>1988-8-23</t>
  </si>
  <si>
    <t>1997-11-25</t>
  </si>
  <si>
    <t>1990-3-17</t>
  </si>
  <si>
    <t>1994-9-17</t>
  </si>
  <si>
    <t>1990-4-23</t>
  </si>
  <si>
    <t>1988-6-12</t>
  </si>
  <si>
    <t>1987-3-1</t>
  </si>
  <si>
    <t>1996-5-26</t>
  </si>
  <si>
    <t>1990-9-11</t>
  </si>
  <si>
    <t>1991-10-3</t>
  </si>
  <si>
    <t>1995-8-11</t>
  </si>
  <si>
    <t>1996-8-26</t>
  </si>
  <si>
    <t>1987-1-19</t>
  </si>
  <si>
    <t>1987-12-27</t>
  </si>
  <si>
    <t>1993-4-4</t>
  </si>
  <si>
    <t>1996-7-28</t>
  </si>
  <si>
    <t>1997-3-2</t>
  </si>
  <si>
    <t>1987-4-22</t>
  </si>
  <si>
    <t>1993-11-19</t>
  </si>
  <si>
    <t>1998-5-29</t>
  </si>
  <si>
    <t>1994-8-28</t>
  </si>
  <si>
    <t>1989-1-7</t>
  </si>
  <si>
    <t>1987-9-3</t>
  </si>
  <si>
    <t>1990-1-6</t>
  </si>
  <si>
    <t>1996-8-14</t>
  </si>
  <si>
    <t>1996-5-27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</si>
</sst>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36EC2"/>
      <name val="Arial"/>
      <family val="2"/>
    </font>
    <font>
      <sz val="12"/>
      <color rgb="FF333333"/>
      <name val="Arial"/>
      <family val="2"/>
    </font>
    <font>
      <sz val="14"/>
      <color rgb="FF000000"/>
      <name val="Courier New"/>
      <family val="3"/>
    </font>
    <font>
      <sz val="14"/>
      <color rgb="FF000000"/>
      <name val="等线"/>
      <family val="3"/>
      <charset val="134"/>
    </font>
    <font>
      <sz val="14"/>
      <color rgb="FF000000"/>
      <name val="微软雅黑"/>
      <family val="2"/>
      <charset val="134"/>
    </font>
    <font>
      <sz val="14"/>
      <color rgb="FF000000"/>
      <name val="等线"/>
      <family val="2"/>
      <charset val="134"/>
    </font>
    <font>
      <sz val="14"/>
      <color rgb="FF000000"/>
      <name val="Courier Ne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4" fillId="0" borderId="0" xfId="0" applyFon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FE1021D-8CAD-4F95-8C59-1CEEEDD2393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31"/>
  <sheetViews>
    <sheetView workbookViewId="0">
      <selection activeCell="K125" sqref="A1:K125"/>
    </sheetView>
  </sheetViews>
  <sheetFormatPr defaultRowHeight="14.25" x14ac:dyDescent="0.2"/>
  <cols>
    <col min="4" max="4" width="13" bestFit="1" customWidth="1"/>
    <col min="5" max="5" width="11.625" bestFit="1" customWidth="1"/>
    <col min="7" max="7" width="13" bestFit="1" customWidth="1"/>
    <col min="8" max="8" width="21.375" bestFit="1" customWidth="1"/>
    <col min="9" max="9" width="17.25" bestFit="1" customWidth="1"/>
    <col min="10" max="10" width="57.5" bestFit="1" customWidth="1"/>
    <col min="15" max="15" width="13" bestFit="1" customWidth="1"/>
    <col min="23" max="23" width="13" bestFit="1" customWidth="1"/>
    <col min="25" max="26" width="21.375" bestFit="1" customWidth="1"/>
    <col min="27" max="27" width="19.25" bestFit="1" customWidth="1"/>
  </cols>
  <sheetData>
    <row r="1" spans="1:32" x14ac:dyDescent="0.2">
      <c r="A1" t="s">
        <v>3</v>
      </c>
      <c r="B1" t="s">
        <v>2</v>
      </c>
      <c r="C1" t="s">
        <v>0</v>
      </c>
      <c r="D1" t="s">
        <v>4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32" x14ac:dyDescent="0.2">
      <c r="A2" t="s">
        <v>32</v>
      </c>
      <c r="B2" t="str" cm="1">
        <f t="array" aca="1" ref="B2" ca="1">INDIRECT("r"&amp;RANDBETWEEN(2,3))</f>
        <v>男</v>
      </c>
      <c r="C2" t="str" cm="1">
        <f t="array" aca="1" ref="C2" ca="1">INDIRECT("s"&amp;RANDBETWEEN(2,19))</f>
        <v>四川省</v>
      </c>
      <c r="D2" t="s">
        <v>161</v>
      </c>
      <c r="E2" t="str">
        <f ca="1">T2&amp;"-"&amp;U2&amp;"-"&amp;V2</f>
        <v>1988-4-5</v>
      </c>
      <c r="F2" t="str">
        <f ca="1">VLOOKUP(G2,$W$2:$X$1431,2,)</f>
        <v>本科</v>
      </c>
      <c r="G2" t="str" cm="1">
        <f t="array" aca="1" ref="G2" ca="1">INDIRECT("w"&amp;RANDBETWEEN(2,1431))</f>
        <v>扬州大学</v>
      </c>
      <c r="H2" t="str" cm="1">
        <f t="array" aca="1" ref="H2" ca="1">IF(F2="本科",INDIRECT("y"&amp;RANDBETWEEN(3,12)),INDIRECT("z"&amp;RANDBETWEEN(3,11)))</f>
        <v>数理基础科学</v>
      </c>
      <c r="I2" t="str">
        <f ca="1">VLOOKUP(H2,$Y$19:$Z$37,2,)</f>
        <v>数据分析</v>
      </c>
      <c r="J2" t="str" cm="1">
        <f t="array" aca="1" ref="J2" ca="1">_xlfn.IFS(I2=$O$3,INDIRECT("ac"&amp;RANDBETWEEN(2,7)),I2=$O$2,INDIRECT("ad"&amp;RANDBETWEEN(2,10)),I2=$O$4,INDIRECT("ab"&amp;RANDBETWEEN(2,35)),I2=$O$5,INDIRECT("ae"&amp;RANDBETWEEN(2,7)),I2=$O$6,INDIRECT("af"&amp;RANDBETWEEN(2,7)),I2=$O$7,INDIRECT("ab"&amp;RANDBETWEEN(2,35)))</f>
        <v>Python,Excel,SQL,Tableau,聚类分析,因子分析,相关分析</v>
      </c>
      <c r="K2">
        <f ca="1">IF(F2="本科",2021-T2-22,2021-T2-21)</f>
        <v>11</v>
      </c>
      <c r="O2" t="s">
        <v>688</v>
      </c>
      <c r="R2" t="s">
        <v>157</v>
      </c>
      <c r="S2" s="1" t="s">
        <v>13</v>
      </c>
      <c r="T2">
        <f ca="1">RANDBETWEEN(1987,1998)</f>
        <v>1988</v>
      </c>
      <c r="U2">
        <f ca="1">RANDBETWEEN(1,12)</f>
        <v>4</v>
      </c>
      <c r="V2">
        <f ca="1">RANDBETWEEN(1,30)</f>
        <v>5</v>
      </c>
      <c r="W2" t="s">
        <v>162</v>
      </c>
      <c r="X2" t="s">
        <v>675</v>
      </c>
      <c r="Y2" t="s">
        <v>686</v>
      </c>
      <c r="Z2" t="s">
        <v>680</v>
      </c>
      <c r="AB2" s="3" t="s">
        <v>710</v>
      </c>
      <c r="AC2" t="s">
        <v>742</v>
      </c>
      <c r="AD2" t="s">
        <v>754</v>
      </c>
      <c r="AE2" t="s">
        <v>768</v>
      </c>
      <c r="AF2" t="s">
        <v>779</v>
      </c>
    </row>
    <row r="3" spans="1:32" ht="18.75" x14ac:dyDescent="0.3">
      <c r="A3" t="s">
        <v>33</v>
      </c>
      <c r="B3" t="str" cm="1">
        <f t="array" aca="1" ref="B3" ca="1">INDIRECT("r"&amp;RANDBETWEEN(2,3))</f>
        <v>男</v>
      </c>
      <c r="C3" t="str" cm="1">
        <f t="array" aca="1" ref="C3" ca="1">INDIRECT("s"&amp;RANDBETWEEN(2,19))</f>
        <v>浙江省</v>
      </c>
      <c r="D3" t="s">
        <v>161</v>
      </c>
      <c r="E3" t="str">
        <f t="shared" ref="E3:E66" ca="1" si="0">T3&amp;"-"&amp;U3&amp;"-"&amp;V3</f>
        <v>1990-3-26</v>
      </c>
      <c r="F3" t="str">
        <f t="shared" ref="F3:F66" ca="1" si="1">VLOOKUP(G3,$W$2:$X$1431,2,)</f>
        <v>本科</v>
      </c>
      <c r="G3" t="str" cm="1">
        <f t="array" aca="1" ref="G3" ca="1">INDIRECT("w"&amp;RANDBETWEEN(2,1431))</f>
        <v>闽江学院</v>
      </c>
      <c r="H3" t="str" cm="1">
        <f t="array" aca="1" ref="H3" ca="1">IF(F3="本科",INDIRECT("y"&amp;RANDBETWEEN(3,12)),INDIRECT("z"&amp;RANDBETWEEN(3,11)))</f>
        <v>信息与计算科学</v>
      </c>
      <c r="I3" t="str">
        <f t="shared" ref="I3:I66" ca="1" si="2">VLOOKUP(H3,$Y$19:$Z$37,2,)</f>
        <v>数据分析</v>
      </c>
      <c r="J3" t="str" cm="1">
        <f t="array" aca="1" ref="J3" ca="1">_xlfn.IFS(I3=$O$3,INDIRECT("ac"&amp;RANDBETWEEN(2,7)),I3=$O$2,INDIRECT("ad"&amp;RANDBETWEEN(2,10)),I3=$O$4,INDIRECT("ab"&amp;RANDBETWEEN(2,35)),I3=$O$5,INDIRECT("ae"&amp;RANDBETWEEN(2,7)),I3=$O$6,INDIRECT("af"&amp;RANDBETWEEN(2,7)),I3=$O$7,INDIRECT("ab"&amp;RANDBETWEEN(2,35)))</f>
        <v>SPSS,SAS,Python</v>
      </c>
      <c r="K3">
        <f ca="1">IF(F3="本科",2021-T3-22,2021-T3-21)</f>
        <v>9</v>
      </c>
      <c r="O3" t="s">
        <v>693</v>
      </c>
      <c r="R3" t="s">
        <v>159</v>
      </c>
      <c r="S3" t="s">
        <v>14</v>
      </c>
      <c r="T3">
        <f t="shared" ref="T3:T66" ca="1" si="3">RANDBETWEEN(1987,1998)</f>
        <v>1990</v>
      </c>
      <c r="U3">
        <f t="shared" ref="U3:U66" ca="1" si="4">RANDBETWEEN(1,12)</f>
        <v>3</v>
      </c>
      <c r="V3">
        <f t="shared" ref="V3:V66" ca="1" si="5">RANDBETWEEN(1,30)</f>
        <v>26</v>
      </c>
      <c r="W3" t="s">
        <v>163</v>
      </c>
      <c r="X3" t="s">
        <v>675</v>
      </c>
      <c r="Y3" t="s">
        <v>681</v>
      </c>
      <c r="Z3" t="s">
        <v>677</v>
      </c>
      <c r="AB3" s="4" t="s">
        <v>711</v>
      </c>
      <c r="AC3" t="s">
        <v>744</v>
      </c>
      <c r="AD3" t="s">
        <v>756</v>
      </c>
      <c r="AE3" t="s">
        <v>770</v>
      </c>
      <c r="AF3" s="5" t="s">
        <v>780</v>
      </c>
    </row>
    <row r="4" spans="1:32" ht="20.25" x14ac:dyDescent="0.35">
      <c r="A4" t="s">
        <v>34</v>
      </c>
      <c r="B4" t="str" cm="1">
        <f t="array" aca="1" ref="B4" ca="1">INDIRECT("r"&amp;RANDBETWEEN(2,3))</f>
        <v>男</v>
      </c>
      <c r="C4" t="str" cm="1">
        <f t="array" aca="1" ref="C4" ca="1">INDIRECT("s"&amp;RANDBETWEEN(2,19))</f>
        <v>山东省</v>
      </c>
      <c r="D4" t="s">
        <v>161</v>
      </c>
      <c r="E4" t="str">
        <f t="shared" ca="1" si="0"/>
        <v>1993-11-25</v>
      </c>
      <c r="F4" t="str">
        <f t="shared" ca="1" si="1"/>
        <v>高职专科</v>
      </c>
      <c r="G4" t="str" cm="1">
        <f t="array" aca="1" ref="G4" ca="1">INDIRECT("w"&amp;RANDBETWEEN(2,1431))</f>
        <v>河北交通职业</v>
      </c>
      <c r="H4" t="str" cm="1">
        <f t="array" aca="1" ref="H4" ca="1">IF(F4="本科",INDIRECT("y"&amp;RANDBETWEEN(3,12)),INDIRECT("z"&amp;RANDBETWEEN(3,11)))</f>
        <v>保密技术</v>
      </c>
      <c r="I4" t="str">
        <f t="shared" ca="1" si="2"/>
        <v>软件开发</v>
      </c>
      <c r="J4" t="str" cm="1">
        <f t="array" aca="1" ref="J4" ca="1">_xlfn.IFS(I4=$O$3,INDIRECT("ac"&amp;RANDBETWEEN(2,7)),I4=$O$2,INDIRECT("ad"&amp;RANDBETWEEN(2,10)),I4=$O$4,INDIRECT("ab"&amp;RANDBETWEEN(2,35)),I4=$O$5,INDIRECT("ae"&amp;RANDBETWEEN(2,7)),I4=$O$6,INDIRECT("af"&amp;RANDBETWEEN(2,7)),I4=$O$7,INDIRECT("ab"&amp;RANDBETWEEN(2,35)))</f>
        <v>python,go</v>
      </c>
      <c r="K4">
        <f ca="1">IF(F4="本科",2021-T4-22,2021-T4-21)</f>
        <v>7</v>
      </c>
      <c r="O4" t="s">
        <v>691</v>
      </c>
      <c r="S4" t="s">
        <v>15</v>
      </c>
      <c r="T4">
        <f t="shared" ca="1" si="3"/>
        <v>1993</v>
      </c>
      <c r="U4">
        <f t="shared" ca="1" si="4"/>
        <v>11</v>
      </c>
      <c r="V4">
        <f t="shared" ca="1" si="5"/>
        <v>25</v>
      </c>
      <c r="W4" t="s">
        <v>164</v>
      </c>
      <c r="X4" t="s">
        <v>675</v>
      </c>
      <c r="Y4" t="s">
        <v>682</v>
      </c>
      <c r="Z4" t="s">
        <v>678</v>
      </c>
      <c r="AB4" s="3" t="s">
        <v>712</v>
      </c>
      <c r="AC4" t="s">
        <v>746</v>
      </c>
      <c r="AD4" t="s">
        <v>786</v>
      </c>
      <c r="AE4" t="s">
        <v>772</v>
      </c>
      <c r="AF4" s="5" t="s">
        <v>781</v>
      </c>
    </row>
    <row r="5" spans="1:32" x14ac:dyDescent="0.2">
      <c r="A5" t="s">
        <v>35</v>
      </c>
      <c r="B5" t="str" cm="1">
        <f t="array" aca="1" ref="B5" ca="1">INDIRECT("r"&amp;RANDBETWEEN(2,3))</f>
        <v>男</v>
      </c>
      <c r="C5" t="str" cm="1">
        <f t="array" aca="1" ref="C5" ca="1">INDIRECT("s"&amp;RANDBETWEEN(2,19))</f>
        <v>河北省</v>
      </c>
      <c r="D5" t="s">
        <v>161</v>
      </c>
      <c r="E5" t="str">
        <f t="shared" ca="1" si="0"/>
        <v>1994-4-4</v>
      </c>
      <c r="F5" t="str">
        <f t="shared" ca="1" si="1"/>
        <v>本科</v>
      </c>
      <c r="G5" t="str" cm="1">
        <f t="array" aca="1" ref="G5" ca="1">INDIRECT("w"&amp;RANDBETWEEN(2,1431))</f>
        <v>大理大学</v>
      </c>
      <c r="H5" t="str" cm="1">
        <f t="array" aca="1" ref="H5" ca="1">IF(F5="本科",INDIRECT("y"&amp;RANDBETWEEN(3,12)),INDIRECT("z"&amp;RANDBETWEEN(3,11)))</f>
        <v>数据计算及应用</v>
      </c>
      <c r="I5" t="str">
        <f t="shared" ca="1" si="2"/>
        <v>数据分析</v>
      </c>
      <c r="J5" t="str" cm="1">
        <f t="array" aca="1" ref="J5" ca="1">_xlfn.IFS(I5=$O$3,INDIRECT("ac"&amp;RANDBETWEEN(2,7)),I5=$O$2,INDIRECT("ad"&amp;RANDBETWEEN(2,10)),I5=$O$4,INDIRECT("ab"&amp;RANDBETWEEN(2,35)),I5=$O$5,INDIRECT("ae"&amp;RANDBETWEEN(2,7)),I5=$O$6,INDIRECT("af"&amp;RANDBETWEEN(2,7)),I5=$O$7,INDIRECT("ab"&amp;RANDBETWEEN(2,35)))</f>
        <v>SQL,相关分析,Python,Excel</v>
      </c>
      <c r="K5">
        <f ca="1">IF(F5="本科",2021-T5-22,2021-T5-21)</f>
        <v>5</v>
      </c>
      <c r="O5" t="s">
        <v>695</v>
      </c>
      <c r="S5" t="s">
        <v>16</v>
      </c>
      <c r="T5">
        <f t="shared" ca="1" si="3"/>
        <v>1994</v>
      </c>
      <c r="U5">
        <f t="shared" ca="1" si="4"/>
        <v>4</v>
      </c>
      <c r="V5">
        <f t="shared" ca="1" si="5"/>
        <v>4</v>
      </c>
      <c r="W5" t="s">
        <v>165</v>
      </c>
      <c r="X5" t="s">
        <v>675</v>
      </c>
      <c r="Y5" t="s">
        <v>683</v>
      </c>
      <c r="Z5" t="s">
        <v>679</v>
      </c>
      <c r="AB5" s="4" t="s">
        <v>713</v>
      </c>
      <c r="AC5" t="s">
        <v>748</v>
      </c>
      <c r="AD5" t="s">
        <v>758</v>
      </c>
      <c r="AE5" t="s">
        <v>774</v>
      </c>
      <c r="AF5" t="s">
        <v>782</v>
      </c>
    </row>
    <row r="6" spans="1:32" ht="15" x14ac:dyDescent="0.2">
      <c r="A6" t="s">
        <v>36</v>
      </c>
      <c r="B6" t="str" cm="1">
        <f t="array" aca="1" ref="B6" ca="1">INDIRECT("r"&amp;RANDBETWEEN(2,3))</f>
        <v>男</v>
      </c>
      <c r="C6" t="str" cm="1">
        <f t="array" aca="1" ref="C6" ca="1">INDIRECT("s"&amp;RANDBETWEEN(2,19))</f>
        <v>黑龙江省</v>
      </c>
      <c r="D6" t="s">
        <v>161</v>
      </c>
      <c r="E6" t="str">
        <f t="shared" ca="1" si="0"/>
        <v>1987-6-21</v>
      </c>
      <c r="F6" t="str">
        <f t="shared" ca="1" si="1"/>
        <v>本科</v>
      </c>
      <c r="G6" t="str" cm="1">
        <f t="array" aca="1" ref="G6" ca="1">INDIRECT("w"&amp;RANDBETWEEN(2,1431))</f>
        <v>湖北工程学院</v>
      </c>
      <c r="H6" t="str" cm="1">
        <f t="array" aca="1" ref="H6" ca="1">IF(F6="本科",INDIRECT("y"&amp;RANDBETWEEN(3,12)),INDIRECT("z"&amp;RANDBETWEEN(3,11)))</f>
        <v>电子与计算机工程</v>
      </c>
      <c r="I6" t="str">
        <f t="shared" ca="1" si="2"/>
        <v>软件开发</v>
      </c>
      <c r="J6" t="str" cm="1">
        <f t="array" aca="1" ref="J6" ca="1">_xlfn.IFS(I6=$O$3,INDIRECT("ac"&amp;RANDBETWEEN(2,7)),I6=$O$2,INDIRECT("ad"&amp;RANDBETWEEN(2,10)),I6=$O$4,INDIRECT("ab"&amp;RANDBETWEEN(2,35)),I6=$O$5,INDIRECT("ae"&amp;RANDBETWEEN(2,7)),I6=$O$6,INDIRECT("af"&amp;RANDBETWEEN(2,7)),I6=$O$7,INDIRECT("ab"&amp;RANDBETWEEN(2,35)))</f>
        <v>Spring,Redis,MySQL,后端开发</v>
      </c>
      <c r="K6">
        <f ca="1">IF(F6="本科",2021-T6-22,2021-T6-21)</f>
        <v>12</v>
      </c>
      <c r="O6" t="s">
        <v>707</v>
      </c>
      <c r="S6" t="s">
        <v>17</v>
      </c>
      <c r="T6">
        <f t="shared" ca="1" si="3"/>
        <v>1987</v>
      </c>
      <c r="U6">
        <f t="shared" ca="1" si="4"/>
        <v>6</v>
      </c>
      <c r="V6">
        <f t="shared" ca="1" si="5"/>
        <v>21</v>
      </c>
      <c r="W6" t="s">
        <v>166</v>
      </c>
      <c r="X6" t="s">
        <v>675</v>
      </c>
      <c r="Y6" t="s">
        <v>684</v>
      </c>
      <c r="Z6" s="2" t="s">
        <v>699</v>
      </c>
      <c r="AB6" s="3" t="s">
        <v>714</v>
      </c>
      <c r="AC6" t="s">
        <v>750</v>
      </c>
      <c r="AD6" t="s">
        <v>760</v>
      </c>
      <c r="AE6" t="s">
        <v>776</v>
      </c>
      <c r="AF6" t="s">
        <v>783</v>
      </c>
    </row>
    <row r="7" spans="1:32" ht="18.75" x14ac:dyDescent="0.3">
      <c r="A7" t="s">
        <v>37</v>
      </c>
      <c r="B7" t="str" cm="1">
        <f t="array" aca="1" ref="B7" ca="1">INDIRECT("r"&amp;RANDBETWEEN(2,3))</f>
        <v>女</v>
      </c>
      <c r="C7" t="str" cm="1">
        <f t="array" aca="1" ref="C7" ca="1">INDIRECT("s"&amp;RANDBETWEEN(2,19))</f>
        <v>贵州省</v>
      </c>
      <c r="D7" t="s">
        <v>161</v>
      </c>
      <c r="E7" t="str">
        <f t="shared" ca="1" si="0"/>
        <v>1996-11-22</v>
      </c>
      <c r="F7" t="str">
        <f t="shared" ca="1" si="1"/>
        <v>本科</v>
      </c>
      <c r="G7" t="str" cm="1">
        <f t="array" aca="1" ref="G7" ca="1">INDIRECT("w"&amp;RANDBETWEEN(2,1431))</f>
        <v>河海大学</v>
      </c>
      <c r="H7" t="str" cm="1">
        <f t="array" aca="1" ref="H7" ca="1">IF(F7="本科",INDIRECT("y"&amp;RANDBETWEEN(3,12)),INDIRECT("z"&amp;RANDBETWEEN(3,11)))</f>
        <v>应用统计学</v>
      </c>
      <c r="I7" t="str">
        <f t="shared" ca="1" si="2"/>
        <v>数据分析</v>
      </c>
      <c r="J7" t="str" cm="1">
        <f t="array" aca="1" ref="J7" ca="1">_xlfn.IFS(I7=$O$3,INDIRECT("ac"&amp;RANDBETWEEN(2,7)),I7=$O$2,INDIRECT("ad"&amp;RANDBETWEEN(2,10)),I7=$O$4,INDIRECT("ab"&amp;RANDBETWEEN(2,35)),I7=$O$5,INDIRECT("ae"&amp;RANDBETWEEN(2,7)),I7=$O$6,INDIRECT("af"&amp;RANDBETWEEN(2,7)),I7=$O$7,INDIRECT("ab"&amp;RANDBETWEEN(2,35)))</f>
        <v>SPSS,SAS,Python</v>
      </c>
      <c r="K7">
        <f ca="1">IF(F7="本科",2021-T7-22,2021-T7-21)</f>
        <v>3</v>
      </c>
      <c r="O7" t="s">
        <v>709</v>
      </c>
      <c r="S7" t="s">
        <v>18</v>
      </c>
      <c r="T7">
        <f t="shared" ca="1" si="3"/>
        <v>1996</v>
      </c>
      <c r="U7">
        <f t="shared" ca="1" si="4"/>
        <v>11</v>
      </c>
      <c r="V7">
        <f t="shared" ca="1" si="5"/>
        <v>22</v>
      </c>
      <c r="W7" t="s">
        <v>168</v>
      </c>
      <c r="X7" t="s">
        <v>675</v>
      </c>
      <c r="Y7" s="2" t="s">
        <v>700</v>
      </c>
      <c r="Z7" t="s">
        <v>685</v>
      </c>
      <c r="AB7" s="4" t="s">
        <v>715</v>
      </c>
      <c r="AC7" t="s">
        <v>752</v>
      </c>
      <c r="AD7" s="5" t="s">
        <v>761</v>
      </c>
      <c r="AE7" t="s">
        <v>778</v>
      </c>
      <c r="AF7" t="s">
        <v>784</v>
      </c>
    </row>
    <row r="8" spans="1:32" ht="15" x14ac:dyDescent="0.2">
      <c r="A8" t="s">
        <v>38</v>
      </c>
      <c r="B8" t="str" cm="1">
        <f t="array" aca="1" ref="B8" ca="1">INDIRECT("r"&amp;RANDBETWEEN(2,3))</f>
        <v>女</v>
      </c>
      <c r="C8" t="str" cm="1">
        <f t="array" aca="1" ref="C8" ca="1">INDIRECT("s"&amp;RANDBETWEEN(2,19))</f>
        <v>福建省</v>
      </c>
      <c r="D8" t="s">
        <v>161</v>
      </c>
      <c r="E8" t="str">
        <f t="shared" ca="1" si="0"/>
        <v>1996-12-8</v>
      </c>
      <c r="F8" t="str">
        <f t="shared" ca="1" si="1"/>
        <v>本科</v>
      </c>
      <c r="G8" t="str" cm="1">
        <f t="array" aca="1" ref="G8" ca="1">INDIRECT("w"&amp;RANDBETWEEN(2,1431))</f>
        <v>沈阳工业大学</v>
      </c>
      <c r="H8" t="str" cm="1">
        <f t="array" aca="1" ref="H8" ca="1">IF(F8="本科",INDIRECT("y"&amp;RANDBETWEEN(3,12)),INDIRECT("z"&amp;RANDBETWEEN(3,11)))</f>
        <v>数学与应用数学</v>
      </c>
      <c r="I8" t="str">
        <f t="shared" ca="1" si="2"/>
        <v>数据分析</v>
      </c>
      <c r="J8" t="str" cm="1">
        <f t="array" aca="1" ref="J8" ca="1">_xlfn.IFS(I8=$O$3,INDIRECT("ac"&amp;RANDBETWEEN(2,7)),I8=$O$2,INDIRECT("ad"&amp;RANDBETWEEN(2,10)),I8=$O$4,INDIRECT("ab"&amp;RANDBETWEEN(2,35)),I8=$O$5,INDIRECT("ae"&amp;RANDBETWEEN(2,7)),I8=$O$6,INDIRECT("af"&amp;RANDBETWEEN(2,7)),I8=$O$7,INDIRECT("ab"&amp;RANDBETWEEN(2,35)))</f>
        <v>Excel</v>
      </c>
      <c r="K8">
        <f ca="1">IF(F8="本科",2021-T8-22,2021-T8-21)</f>
        <v>3</v>
      </c>
      <c r="S8" t="s">
        <v>19</v>
      </c>
      <c r="T8">
        <f t="shared" ca="1" si="3"/>
        <v>1996</v>
      </c>
      <c r="U8">
        <f t="shared" ca="1" si="4"/>
        <v>12</v>
      </c>
      <c r="V8">
        <f t="shared" ca="1" si="5"/>
        <v>8</v>
      </c>
      <c r="W8" t="s">
        <v>169</v>
      </c>
      <c r="X8" t="s">
        <v>675</v>
      </c>
      <c r="Y8" s="2" t="s">
        <v>701</v>
      </c>
      <c r="Z8" t="s">
        <v>689</v>
      </c>
      <c r="AB8" s="3" t="s">
        <v>716</v>
      </c>
      <c r="AD8" t="s">
        <v>763</v>
      </c>
    </row>
    <row r="9" spans="1:32" ht="18.75" x14ac:dyDescent="0.3">
      <c r="A9" t="s">
        <v>39</v>
      </c>
      <c r="B9" t="str" cm="1">
        <f t="array" aca="1" ref="B9" ca="1">INDIRECT("r"&amp;RANDBETWEEN(2,3))</f>
        <v>男</v>
      </c>
      <c r="C9" t="str" cm="1">
        <f t="array" aca="1" ref="C9" ca="1">INDIRECT("s"&amp;RANDBETWEEN(2,19))</f>
        <v>河北省</v>
      </c>
      <c r="D9" t="s">
        <v>161</v>
      </c>
      <c r="E9" t="str">
        <f t="shared" ca="1" si="0"/>
        <v>1997-4-23</v>
      </c>
      <c r="F9" t="str">
        <f t="shared" ca="1" si="1"/>
        <v>本科</v>
      </c>
      <c r="G9" t="str" cm="1">
        <f t="array" aca="1" ref="G9" ca="1">INDIRECT("w"&amp;RANDBETWEEN(2,1431))</f>
        <v>呼伦贝尔学院</v>
      </c>
      <c r="H9" t="str" cm="1">
        <f t="array" aca="1" ref="H9" ca="1">IF(F9="本科",INDIRECT("y"&amp;RANDBETWEEN(3,12)),INDIRECT("z"&amp;RANDBETWEEN(3,11)))</f>
        <v>数理基础科学</v>
      </c>
      <c r="I9" t="str">
        <f t="shared" ca="1" si="2"/>
        <v>数据分析</v>
      </c>
      <c r="J9" t="str" cm="1">
        <f t="array" aca="1" ref="J9" ca="1">_xlfn.IFS(I9=$O$3,INDIRECT("ac"&amp;RANDBETWEEN(2,7)),I9=$O$2,INDIRECT("ad"&amp;RANDBETWEEN(2,10)),I9=$O$4,INDIRECT("ab"&amp;RANDBETWEEN(2,35)),I9=$O$5,INDIRECT("ae"&amp;RANDBETWEEN(2,7)),I9=$O$6,INDIRECT("af"&amp;RANDBETWEEN(2,7)),I9=$O$7,INDIRECT("ab"&amp;RANDBETWEEN(2,35)))</f>
        <v>Excel,Hive,Python</v>
      </c>
      <c r="K9">
        <f ca="1">IF(F9="本科",2021-T9-22,2021-T9-21)</f>
        <v>2</v>
      </c>
      <c r="S9" t="s">
        <v>20</v>
      </c>
      <c r="T9">
        <f t="shared" ca="1" si="3"/>
        <v>1997</v>
      </c>
      <c r="U9">
        <f t="shared" ca="1" si="4"/>
        <v>4</v>
      </c>
      <c r="V9">
        <f t="shared" ca="1" si="5"/>
        <v>23</v>
      </c>
      <c r="W9" t="s">
        <v>170</v>
      </c>
      <c r="X9" t="s">
        <v>675</v>
      </c>
      <c r="Y9" s="2" t="s">
        <v>702</v>
      </c>
      <c r="Z9" t="s">
        <v>696</v>
      </c>
      <c r="AB9" s="4" t="s">
        <v>717</v>
      </c>
      <c r="AD9" s="5" t="s">
        <v>764</v>
      </c>
    </row>
    <row r="10" spans="1:32" ht="18.75" x14ac:dyDescent="0.3">
      <c r="A10" t="s">
        <v>40</v>
      </c>
      <c r="B10" t="str" cm="1">
        <f t="array" aca="1" ref="B10" ca="1">INDIRECT("r"&amp;RANDBETWEEN(2,3))</f>
        <v>男</v>
      </c>
      <c r="C10" t="str" cm="1">
        <f t="array" aca="1" ref="C10" ca="1">INDIRECT("s"&amp;RANDBETWEEN(2,19))</f>
        <v>吉林省</v>
      </c>
      <c r="D10" t="s">
        <v>161</v>
      </c>
      <c r="E10" t="str">
        <f t="shared" ca="1" si="0"/>
        <v>1987-12-9</v>
      </c>
      <c r="F10" t="str">
        <f t="shared" ca="1" si="1"/>
        <v>高职专科</v>
      </c>
      <c r="G10" t="str" cm="1">
        <f t="array" aca="1" ref="G10" ca="1">INDIRECT("w"&amp;RANDBETWEEN(2,1431))</f>
        <v>沧州职业技术</v>
      </c>
      <c r="H10" t="str" cm="1">
        <f t="array" aca="1" ref="H10" ca="1">IF(F10="本科",INDIRECT("y"&amp;RANDBETWEEN(3,12)),INDIRECT("z"&amp;RANDBETWEEN(3,11)))</f>
        <v>电子商务</v>
      </c>
      <c r="I10" t="str">
        <f t="shared" ca="1" si="2"/>
        <v>电子商务运营</v>
      </c>
      <c r="J10" t="str" cm="1">
        <f t="array" aca="1" ref="J10" ca="1">_xlfn.IFS(I10=$O$3,INDIRECT("ac"&amp;RANDBETWEEN(2,7)),I10=$O$2,INDIRECT("ad"&amp;RANDBETWEEN(2,10)),I10=$O$4,INDIRECT("ab"&amp;RANDBETWEEN(2,35)),I10=$O$5,INDIRECT("ae"&amp;RANDBETWEEN(2,7)),I10=$O$6,INDIRECT("af"&amp;RANDBETWEEN(2,7)),I10=$O$7,INDIRECT("ab"&amp;RANDBETWEEN(2,35)))</f>
        <v>C端用户运营，店铺运营</v>
      </c>
      <c r="K10">
        <f ca="1">IF(F10="本科",2021-T10-22,2021-T10-21)</f>
        <v>13</v>
      </c>
      <c r="S10" t="s">
        <v>21</v>
      </c>
      <c r="T10">
        <f t="shared" ca="1" si="3"/>
        <v>1987</v>
      </c>
      <c r="U10">
        <f t="shared" ca="1" si="4"/>
        <v>12</v>
      </c>
      <c r="V10">
        <f t="shared" ca="1" si="5"/>
        <v>9</v>
      </c>
      <c r="W10" t="s">
        <v>171</v>
      </c>
      <c r="X10" t="s">
        <v>675</v>
      </c>
      <c r="Y10" s="2" t="s">
        <v>703</v>
      </c>
      <c r="Z10" t="s">
        <v>697</v>
      </c>
      <c r="AB10" s="3" t="s">
        <v>718</v>
      </c>
      <c r="AD10" s="5" t="s">
        <v>766</v>
      </c>
    </row>
    <row r="11" spans="1:32" ht="15" x14ac:dyDescent="0.2">
      <c r="A11" t="s">
        <v>41</v>
      </c>
      <c r="B11" t="str" cm="1">
        <f t="array" aca="1" ref="B11" ca="1">INDIRECT("r"&amp;RANDBETWEEN(2,3))</f>
        <v>女</v>
      </c>
      <c r="C11" t="str" cm="1">
        <f t="array" aca="1" ref="C11" ca="1">INDIRECT("s"&amp;RANDBETWEEN(2,19))</f>
        <v>吉林省</v>
      </c>
      <c r="D11" t="s">
        <v>161</v>
      </c>
      <c r="E11" t="str">
        <f t="shared" ca="1" si="0"/>
        <v>1997-6-7</v>
      </c>
      <c r="F11" t="str">
        <f t="shared" ca="1" si="1"/>
        <v>本科</v>
      </c>
      <c r="G11" t="str" cm="1">
        <f t="array" aca="1" ref="G11" ca="1">INDIRECT("w"&amp;RANDBETWEEN(2,1431))</f>
        <v>江苏大学</v>
      </c>
      <c r="H11" t="str" cm="1">
        <f t="array" aca="1" ref="H11" ca="1">IF(F11="本科",INDIRECT("y"&amp;RANDBETWEEN(3,12)),INDIRECT("z"&amp;RANDBETWEEN(3,11)))</f>
        <v>数据科学与大数据技术</v>
      </c>
      <c r="I11" t="str">
        <f t="shared" ca="1" si="2"/>
        <v>数据分析</v>
      </c>
      <c r="J11" t="str" cm="1">
        <f t="array" aca="1" ref="J11" ca="1">_xlfn.IFS(I11=$O$3,INDIRECT("ac"&amp;RANDBETWEEN(2,7)),I11=$O$2,INDIRECT("ad"&amp;RANDBETWEEN(2,10)),I11=$O$4,INDIRECT("ab"&amp;RANDBETWEEN(2,35)),I11=$O$5,INDIRECT("ae"&amp;RANDBETWEEN(2,7)),I11=$O$6,INDIRECT("af"&amp;RANDBETWEEN(2,7)),I11=$O$7,INDIRECT("ab"&amp;RANDBETWEEN(2,35)))</f>
        <v>Python,Excel</v>
      </c>
      <c r="K11">
        <f ca="1">IF(F11="本科",2021-T11-22,2021-T11-21)</f>
        <v>2</v>
      </c>
      <c r="S11" t="s">
        <v>22</v>
      </c>
      <c r="T11">
        <f t="shared" ca="1" si="3"/>
        <v>1997</v>
      </c>
      <c r="U11">
        <f t="shared" ca="1" si="4"/>
        <v>6</v>
      </c>
      <c r="V11">
        <f t="shared" ca="1" si="5"/>
        <v>7</v>
      </c>
      <c r="W11" t="s">
        <v>172</v>
      </c>
      <c r="X11" t="s">
        <v>675</v>
      </c>
      <c r="Y11" s="2" t="s">
        <v>704</v>
      </c>
      <c r="Z11" t="s">
        <v>698</v>
      </c>
      <c r="AB11" s="4" t="s">
        <v>719</v>
      </c>
    </row>
    <row r="12" spans="1:32" ht="15" x14ac:dyDescent="0.2">
      <c r="A12" t="s">
        <v>42</v>
      </c>
      <c r="B12" t="str" cm="1">
        <f t="array" aca="1" ref="B12" ca="1">INDIRECT("r"&amp;RANDBETWEEN(2,3))</f>
        <v>女</v>
      </c>
      <c r="C12" t="str" cm="1">
        <f t="array" aca="1" ref="C12" ca="1">INDIRECT("s"&amp;RANDBETWEEN(2,19))</f>
        <v>吉林省</v>
      </c>
      <c r="D12" t="s">
        <v>161</v>
      </c>
      <c r="E12" t="str">
        <f t="shared" ca="1" si="0"/>
        <v>1992-3-8</v>
      </c>
      <c r="F12" t="str">
        <f t="shared" ca="1" si="1"/>
        <v>本科</v>
      </c>
      <c r="G12" t="str" cm="1">
        <f t="array" aca="1" ref="G12" ca="1">INDIRECT("w"&amp;RANDBETWEEN(2,1431))</f>
        <v>重庆文理学院</v>
      </c>
      <c r="H12" t="str" cm="1">
        <f t="array" aca="1" ref="H12" ca="1">IF(F12="本科",INDIRECT("y"&amp;RANDBETWEEN(3,12)),INDIRECT("z"&amp;RANDBETWEEN(3,11)))</f>
        <v>软件工程</v>
      </c>
      <c r="I12" t="str">
        <f t="shared" ca="1" si="2"/>
        <v>软件开发</v>
      </c>
      <c r="J12" t="str" cm="1">
        <f t="array" aca="1" ref="J12" ca="1">_xlfn.IFS(I12=$O$3,INDIRECT("ac"&amp;RANDBETWEEN(2,7)),I12=$O$2,INDIRECT("ad"&amp;RANDBETWEEN(2,10)),I12=$O$4,INDIRECT("ab"&amp;RANDBETWEEN(2,35)),I12=$O$5,INDIRECT("ae"&amp;RANDBETWEEN(2,7)),I12=$O$6,INDIRECT("af"&amp;RANDBETWEEN(2,7)),I12=$O$7,INDIRECT("ab"&amp;RANDBETWEEN(2,35)))</f>
        <v>LINQ,WPF</v>
      </c>
      <c r="K12">
        <f ca="1">IF(F12="本科",2021-T12-22,2021-T12-21)</f>
        <v>7</v>
      </c>
      <c r="S12" t="s">
        <v>23</v>
      </c>
      <c r="T12">
        <f t="shared" ca="1" si="3"/>
        <v>1992</v>
      </c>
      <c r="U12">
        <f t="shared" ca="1" si="4"/>
        <v>3</v>
      </c>
      <c r="V12">
        <f t="shared" ca="1" si="5"/>
        <v>8</v>
      </c>
      <c r="W12" t="s">
        <v>173</v>
      </c>
      <c r="X12" t="s">
        <v>675</v>
      </c>
      <c r="Y12" s="2" t="s">
        <v>705</v>
      </c>
      <c r="AB12" s="3" t="s">
        <v>720</v>
      </c>
    </row>
    <row r="13" spans="1:32" x14ac:dyDescent="0.2">
      <c r="A13" t="s">
        <v>43</v>
      </c>
      <c r="B13" t="str" cm="1">
        <f t="array" aca="1" ref="B13" ca="1">INDIRECT("r"&amp;RANDBETWEEN(2,3))</f>
        <v>男</v>
      </c>
      <c r="C13" t="str" cm="1">
        <f t="array" aca="1" ref="C13" ca="1">INDIRECT("s"&amp;RANDBETWEEN(2,19))</f>
        <v>河北省</v>
      </c>
      <c r="D13" t="s">
        <v>161</v>
      </c>
      <c r="E13" t="str">
        <f t="shared" ca="1" si="0"/>
        <v>1990-8-6</v>
      </c>
      <c r="F13" t="str">
        <f t="shared" ca="1" si="1"/>
        <v>本科</v>
      </c>
      <c r="G13" t="str" cm="1">
        <f t="array" aca="1" ref="G13" ca="1">INDIRECT("w"&amp;RANDBETWEEN(2,1431))</f>
        <v>鲁东大学</v>
      </c>
      <c r="H13" t="str" cm="1">
        <f t="array" aca="1" ref="H13" ca="1">IF(F13="本科",INDIRECT("y"&amp;RANDBETWEEN(3,12)),INDIRECT("z"&amp;RANDBETWEEN(3,11)))</f>
        <v>数学与应用数学</v>
      </c>
      <c r="I13" t="str">
        <f t="shared" ca="1" si="2"/>
        <v>数据分析</v>
      </c>
      <c r="J13" t="str" cm="1">
        <f t="array" aca="1" ref="J13" ca="1">_xlfn.IFS(I13=$O$3,INDIRECT("ac"&amp;RANDBETWEEN(2,7)),I13=$O$2,INDIRECT("ad"&amp;RANDBETWEEN(2,10)),I13=$O$4,INDIRECT("ab"&amp;RANDBETWEEN(2,35)),I13=$O$5,INDIRECT("ae"&amp;RANDBETWEEN(2,7)),I13=$O$6,INDIRECT("af"&amp;RANDBETWEEN(2,7)),I13=$O$7,INDIRECT("ab"&amp;RANDBETWEEN(2,35)))</f>
        <v>Excel,Matlab,Python,Spark,Charles,NumPy,Hadoop,Pandas</v>
      </c>
      <c r="K13">
        <f ca="1">IF(F13="本科",2021-T13-22,2021-T13-21)</f>
        <v>9</v>
      </c>
      <c r="S13" t="s">
        <v>24</v>
      </c>
      <c r="T13">
        <f t="shared" ca="1" si="3"/>
        <v>1990</v>
      </c>
      <c r="U13">
        <f t="shared" ca="1" si="4"/>
        <v>8</v>
      </c>
      <c r="V13">
        <f t="shared" ca="1" si="5"/>
        <v>6</v>
      </c>
      <c r="W13" t="s">
        <v>174</v>
      </c>
      <c r="X13" t="s">
        <v>675</v>
      </c>
      <c r="AB13" s="4" t="s">
        <v>721</v>
      </c>
    </row>
    <row r="14" spans="1:32" x14ac:dyDescent="0.2">
      <c r="A14" t="s">
        <v>44</v>
      </c>
      <c r="B14" t="str" cm="1">
        <f t="array" aca="1" ref="B14" ca="1">INDIRECT("r"&amp;RANDBETWEEN(2,3))</f>
        <v>女</v>
      </c>
      <c r="C14" t="str" cm="1">
        <f t="array" aca="1" ref="C14" ca="1">INDIRECT("s"&amp;RANDBETWEEN(2,19))</f>
        <v>浙江省</v>
      </c>
      <c r="D14" t="s">
        <v>161</v>
      </c>
      <c r="E14" t="str">
        <f t="shared" ca="1" si="0"/>
        <v>1990-12-26</v>
      </c>
      <c r="F14" t="str">
        <f t="shared" ca="1" si="1"/>
        <v>本科</v>
      </c>
      <c r="G14" t="str" cm="1">
        <f t="array" aca="1" ref="G14" ca="1">INDIRECT("w"&amp;RANDBETWEEN(2,1431))</f>
        <v>宁波工程学院</v>
      </c>
      <c r="H14" t="str" cm="1">
        <f t="array" aca="1" ref="H14" ca="1">IF(F14="本科",INDIRECT("y"&amp;RANDBETWEEN(3,12)),INDIRECT("z"&amp;RANDBETWEEN(3,11)))</f>
        <v>数学与应用数学</v>
      </c>
      <c r="I14" t="str">
        <f t="shared" ca="1" si="2"/>
        <v>数据分析</v>
      </c>
      <c r="J14" t="str" cm="1">
        <f t="array" aca="1" ref="J14" ca="1">_xlfn.IFS(I14=$O$3,INDIRECT("ac"&amp;RANDBETWEEN(2,7)),I14=$O$2,INDIRECT("ad"&amp;RANDBETWEEN(2,10)),I14=$O$4,INDIRECT("ab"&amp;RANDBETWEEN(2,35)),I14=$O$5,INDIRECT("ae"&amp;RANDBETWEEN(2,7)),I14=$O$6,INDIRECT("af"&amp;RANDBETWEEN(2,7)),I14=$O$7,INDIRECT("ab"&amp;RANDBETWEEN(2,35)))</f>
        <v>Python,Excel</v>
      </c>
      <c r="K14">
        <f ca="1">IF(F14="本科",2021-T14-22,2021-T14-21)</f>
        <v>9</v>
      </c>
      <c r="S14" t="s">
        <v>25</v>
      </c>
      <c r="T14">
        <f t="shared" ca="1" si="3"/>
        <v>1990</v>
      </c>
      <c r="U14">
        <f t="shared" ca="1" si="4"/>
        <v>12</v>
      </c>
      <c r="V14">
        <f t="shared" ca="1" si="5"/>
        <v>26</v>
      </c>
      <c r="W14" t="s">
        <v>175</v>
      </c>
      <c r="X14" t="s">
        <v>675</v>
      </c>
      <c r="AB14" s="3" t="s">
        <v>690</v>
      </c>
    </row>
    <row r="15" spans="1:32" x14ac:dyDescent="0.2">
      <c r="A15" t="s">
        <v>45</v>
      </c>
      <c r="B15" t="str" cm="1">
        <f t="array" aca="1" ref="B15" ca="1">INDIRECT("r"&amp;RANDBETWEEN(2,3))</f>
        <v>女</v>
      </c>
      <c r="C15" t="str" cm="1">
        <f t="array" aca="1" ref="C15" ca="1">INDIRECT("s"&amp;RANDBETWEEN(2,19))</f>
        <v>贵州省</v>
      </c>
      <c r="D15" t="s">
        <v>161</v>
      </c>
      <c r="E15" t="str">
        <f t="shared" ca="1" si="0"/>
        <v>1988-8-4</v>
      </c>
      <c r="F15" t="str">
        <f t="shared" ca="1" si="1"/>
        <v>本科</v>
      </c>
      <c r="G15" t="str" cm="1">
        <f t="array" aca="1" ref="G15" ca="1">INDIRECT("w"&amp;RANDBETWEEN(2,1431))</f>
        <v>沈阳建筑大学</v>
      </c>
      <c r="H15" t="str" cm="1">
        <f t="array" aca="1" ref="H15" ca="1">IF(F15="本科",INDIRECT("y"&amp;RANDBETWEEN(3,12)),INDIRECT("z"&amp;RANDBETWEEN(3,11)))</f>
        <v>新媒体技术</v>
      </c>
      <c r="I15" t="str">
        <f t="shared" ca="1" si="2"/>
        <v>新媒体运营</v>
      </c>
      <c r="J15" t="str" cm="1">
        <f t="array" aca="1" ref="J15" ca="1">_xlfn.IFS(I15=$O$3,INDIRECT("ac"&amp;RANDBETWEEN(2,7)),I15=$O$2,INDIRECT("ad"&amp;RANDBETWEEN(2,10)),I15=$O$4,INDIRECT("ab"&amp;RANDBETWEEN(2,35)),I15=$O$5,INDIRECT("ae"&amp;RANDBETWEEN(2,7)),I15=$O$6,INDIRECT("af"&amp;RANDBETWEEN(2,7)),I15=$O$7,INDIRECT("ab"&amp;RANDBETWEEN(2,35)))</f>
        <v>新媒体运营,电商运营</v>
      </c>
      <c r="K15">
        <f ca="1">IF(F15="本科",2021-T15-22,2021-T15-21)</f>
        <v>11</v>
      </c>
      <c r="S15" t="s">
        <v>26</v>
      </c>
      <c r="T15">
        <f t="shared" ca="1" si="3"/>
        <v>1988</v>
      </c>
      <c r="U15">
        <f t="shared" ca="1" si="4"/>
        <v>8</v>
      </c>
      <c r="V15">
        <f t="shared" ca="1" si="5"/>
        <v>4</v>
      </c>
      <c r="W15" t="s">
        <v>176</v>
      </c>
      <c r="X15" t="s">
        <v>675</v>
      </c>
      <c r="AB15" s="4" t="s">
        <v>722</v>
      </c>
    </row>
    <row r="16" spans="1:32" x14ac:dyDescent="0.2">
      <c r="A16" t="s">
        <v>46</v>
      </c>
      <c r="B16" t="str" cm="1">
        <f t="array" aca="1" ref="B16" ca="1">INDIRECT("r"&amp;RANDBETWEEN(2,3))</f>
        <v>男</v>
      </c>
      <c r="C16" t="str" cm="1">
        <f t="array" aca="1" ref="C16" ca="1">INDIRECT("s"&amp;RANDBETWEEN(2,19))</f>
        <v>辽宁省</v>
      </c>
      <c r="D16" t="s">
        <v>161</v>
      </c>
      <c r="E16" t="str">
        <f t="shared" ca="1" si="0"/>
        <v>1990-5-17</v>
      </c>
      <c r="F16" t="str">
        <f t="shared" ca="1" si="1"/>
        <v>高职专科</v>
      </c>
      <c r="G16" t="str" cm="1">
        <f t="array" aca="1" ref="G16" ca="1">INDIRECT("w"&amp;RANDBETWEEN(2,1431))</f>
        <v>大连职业技术</v>
      </c>
      <c r="H16" t="str" cm="1">
        <f t="array" aca="1" ref="H16" ca="1">IF(F16="本科",INDIRECT("y"&amp;RANDBETWEEN(3,12)),INDIRECT("z"&amp;RANDBETWEEN(3,11)))</f>
        <v>统计与大数据分析</v>
      </c>
      <c r="I16" t="str">
        <f t="shared" ca="1" si="2"/>
        <v>数据分析</v>
      </c>
      <c r="J16" t="str" cm="1">
        <f t="array" aca="1" ref="J16" ca="1">_xlfn.IFS(I16=$O$3,INDIRECT("ac"&amp;RANDBETWEEN(2,7)),I16=$O$2,INDIRECT("ad"&amp;RANDBETWEEN(2,10)),I16=$O$4,INDIRECT("ab"&amp;RANDBETWEEN(2,35)),I16=$O$5,INDIRECT("ae"&amp;RANDBETWEEN(2,7)),I16=$O$6,INDIRECT("af"&amp;RANDBETWEEN(2,7)),I16=$O$7,INDIRECT("ab"&amp;RANDBETWEEN(2,35)))</f>
        <v>SQL</v>
      </c>
      <c r="K16">
        <f ca="1">IF(F16="本科",2021-T16-22,2021-T16-21)</f>
        <v>10</v>
      </c>
      <c r="S16" t="s">
        <v>27</v>
      </c>
      <c r="T16">
        <f t="shared" ca="1" si="3"/>
        <v>1990</v>
      </c>
      <c r="U16">
        <f t="shared" ca="1" si="4"/>
        <v>5</v>
      </c>
      <c r="V16">
        <f t="shared" ca="1" si="5"/>
        <v>17</v>
      </c>
      <c r="W16" t="s">
        <v>177</v>
      </c>
      <c r="X16" t="s">
        <v>675</v>
      </c>
      <c r="AB16" s="3" t="s">
        <v>723</v>
      </c>
    </row>
    <row r="17" spans="1:29" x14ac:dyDescent="0.2">
      <c r="A17" t="s">
        <v>47</v>
      </c>
      <c r="B17" t="str" cm="1">
        <f t="array" aca="1" ref="B17" ca="1">INDIRECT("r"&amp;RANDBETWEEN(2,3))</f>
        <v>男</v>
      </c>
      <c r="C17" t="str" cm="1">
        <f t="array" aca="1" ref="C17" ca="1">INDIRECT("s"&amp;RANDBETWEEN(2,19))</f>
        <v>河北省</v>
      </c>
      <c r="D17" t="s">
        <v>161</v>
      </c>
      <c r="E17" t="str">
        <f t="shared" ca="1" si="0"/>
        <v>1990-11-24</v>
      </c>
      <c r="F17" t="str">
        <f t="shared" ca="1" si="1"/>
        <v>本科</v>
      </c>
      <c r="G17" t="str" cm="1">
        <f t="array" aca="1" ref="G17" ca="1">INDIRECT("w"&amp;RANDBETWEEN(2,1431))</f>
        <v>齐齐哈尔大学</v>
      </c>
      <c r="H17" t="str" cm="1">
        <f t="array" aca="1" ref="H17" ca="1">IF(F17="本科",INDIRECT("y"&amp;RANDBETWEEN(3,12)),INDIRECT("z"&amp;RANDBETWEEN(3,11)))</f>
        <v>数据科学与大数据技术</v>
      </c>
      <c r="I17" t="str">
        <f t="shared" ca="1" si="2"/>
        <v>数据分析</v>
      </c>
      <c r="J17" t="str" cm="1">
        <f t="array" aca="1" ref="J17" ca="1">_xlfn.IFS(I17=$O$3,INDIRECT("ac"&amp;RANDBETWEEN(2,7)),I17=$O$2,INDIRECT("ad"&amp;RANDBETWEEN(2,10)),I17=$O$4,INDIRECT("ab"&amp;RANDBETWEEN(2,35)),I17=$O$5,INDIRECT("ae"&amp;RANDBETWEEN(2,7)),I17=$O$6,INDIRECT("af"&amp;RANDBETWEEN(2,7)),I17=$O$7,INDIRECT("ab"&amp;RANDBETWEEN(2,35)))</f>
        <v>SQL,相关分析,Python,Excel</v>
      </c>
      <c r="K17">
        <f ca="1">IF(F17="本科",2021-T17-22,2021-T17-21)</f>
        <v>9</v>
      </c>
      <c r="S17" t="s">
        <v>28</v>
      </c>
      <c r="T17">
        <f t="shared" ca="1" si="3"/>
        <v>1990</v>
      </c>
      <c r="U17">
        <f t="shared" ca="1" si="4"/>
        <v>11</v>
      </c>
      <c r="V17">
        <f t="shared" ca="1" si="5"/>
        <v>24</v>
      </c>
      <c r="W17" t="s">
        <v>178</v>
      </c>
      <c r="X17" t="s">
        <v>675</v>
      </c>
      <c r="AB17" s="4" t="s">
        <v>724</v>
      </c>
    </row>
    <row r="18" spans="1:29" x14ac:dyDescent="0.2">
      <c r="A18" t="s">
        <v>48</v>
      </c>
      <c r="B18" t="str" cm="1">
        <f t="array" aca="1" ref="B18" ca="1">INDIRECT("r"&amp;RANDBETWEEN(2,3))</f>
        <v>男</v>
      </c>
      <c r="C18" t="str" cm="1">
        <f t="array" aca="1" ref="C18" ca="1">INDIRECT("s"&amp;RANDBETWEEN(2,19))</f>
        <v>云南省</v>
      </c>
      <c r="D18" t="s">
        <v>161</v>
      </c>
      <c r="E18" t="str">
        <f t="shared" ca="1" si="0"/>
        <v>1994-12-23</v>
      </c>
      <c r="F18" t="str">
        <f t="shared" ca="1" si="1"/>
        <v>本科</v>
      </c>
      <c r="G18" t="str" cm="1">
        <f t="array" aca="1" ref="G18" ca="1">INDIRECT("w"&amp;RANDBETWEEN(2,1431))</f>
        <v>香港教育学院</v>
      </c>
      <c r="H18" t="str" cm="1">
        <f t="array" aca="1" ref="H18" ca="1">IF(F18="本科",INDIRECT("y"&amp;RANDBETWEEN(3,12)),INDIRECT("z"&amp;RANDBETWEEN(3,11)))</f>
        <v>数据科学与大数据技术</v>
      </c>
      <c r="I18" t="str">
        <f t="shared" ca="1" si="2"/>
        <v>数据分析</v>
      </c>
      <c r="J18" t="str" cm="1">
        <f t="array" aca="1" ref="J18" ca="1">_xlfn.IFS(I18=$O$3,INDIRECT("ac"&amp;RANDBETWEEN(2,7)),I18=$O$2,INDIRECT("ad"&amp;RANDBETWEEN(2,10)),I18=$O$4,INDIRECT("ab"&amp;RANDBETWEEN(2,35)),I18=$O$5,INDIRECT("ae"&amp;RANDBETWEEN(2,7)),I18=$O$6,INDIRECT("af"&amp;RANDBETWEEN(2,7)),I18=$O$7,INDIRECT("ab"&amp;RANDBETWEEN(2,35)))</f>
        <v>SQL,相关分析,Python,Excel</v>
      </c>
      <c r="K18">
        <f ca="1">IF(F18="本科",2021-T18-22,2021-T18-21)</f>
        <v>5</v>
      </c>
      <c r="S18" t="s">
        <v>29</v>
      </c>
      <c r="T18">
        <f t="shared" ca="1" si="3"/>
        <v>1994</v>
      </c>
      <c r="U18">
        <f t="shared" ca="1" si="4"/>
        <v>12</v>
      </c>
      <c r="V18">
        <f t="shared" ca="1" si="5"/>
        <v>23</v>
      </c>
      <c r="W18" t="s">
        <v>179</v>
      </c>
      <c r="X18" t="s">
        <v>675</v>
      </c>
      <c r="AB18" s="3" t="s">
        <v>725</v>
      </c>
    </row>
    <row r="19" spans="1:29" x14ac:dyDescent="0.2">
      <c r="A19" t="s">
        <v>49</v>
      </c>
      <c r="B19" t="str" cm="1">
        <f t="array" aca="1" ref="B19" ca="1">INDIRECT("r"&amp;RANDBETWEEN(2,3))</f>
        <v>男</v>
      </c>
      <c r="C19" t="str" cm="1">
        <f t="array" aca="1" ref="C19" ca="1">INDIRECT("s"&amp;RANDBETWEEN(2,19))</f>
        <v>湖北省</v>
      </c>
      <c r="D19" t="s">
        <v>161</v>
      </c>
      <c r="E19" t="str">
        <f t="shared" ca="1" si="0"/>
        <v>1998-6-26</v>
      </c>
      <c r="F19" t="str">
        <f t="shared" ca="1" si="1"/>
        <v>高职专科</v>
      </c>
      <c r="G19" t="str" cm="1">
        <f t="array" aca="1" ref="G19" ca="1">INDIRECT("w"&amp;RANDBETWEEN(2,1431))</f>
        <v>辽宁交通高等</v>
      </c>
      <c r="H19" t="str" cm="1">
        <f t="array" aca="1" ref="H19" ca="1">IF(F19="本科",INDIRECT("y"&amp;RANDBETWEEN(3,12)),INDIRECT("z"&amp;RANDBETWEEN(3,11)))</f>
        <v>移动商务</v>
      </c>
      <c r="I19" t="str">
        <f t="shared" ca="1" si="2"/>
        <v>电子商务运营</v>
      </c>
      <c r="J19" t="str" cm="1">
        <f t="array" aca="1" ref="J19" ca="1">_xlfn.IFS(I19=$O$3,INDIRECT("ac"&amp;RANDBETWEEN(2,7)),I19=$O$2,INDIRECT("ad"&amp;RANDBETWEEN(2,10)),I19=$O$4,INDIRECT("ab"&amp;RANDBETWEEN(2,35)),I19=$O$5,INDIRECT("ae"&amp;RANDBETWEEN(2,7)),I19=$O$6,INDIRECT("af"&amp;RANDBETWEEN(2,7)),I19=$O$7,INDIRECT("ab"&amp;RANDBETWEEN(2,35)))</f>
        <v>电商运营</v>
      </c>
      <c r="K19">
        <f ca="1">IF(F19="本科",2021-T19-22,2021-T19-21)</f>
        <v>2</v>
      </c>
      <c r="S19" t="s">
        <v>30</v>
      </c>
      <c r="T19">
        <f t="shared" ca="1" si="3"/>
        <v>1998</v>
      </c>
      <c r="U19">
        <f t="shared" ca="1" si="4"/>
        <v>6</v>
      </c>
      <c r="V19">
        <f t="shared" ca="1" si="5"/>
        <v>26</v>
      </c>
      <c r="W19" t="s">
        <v>180</v>
      </c>
      <c r="X19" t="s">
        <v>675</v>
      </c>
      <c r="Y19" t="s">
        <v>681</v>
      </c>
      <c r="Z19" t="s">
        <v>688</v>
      </c>
      <c r="AB19" s="4" t="s">
        <v>712</v>
      </c>
    </row>
    <row r="20" spans="1:29" x14ac:dyDescent="0.2">
      <c r="A20" t="s">
        <v>50</v>
      </c>
      <c r="B20" t="str" cm="1">
        <f t="array" aca="1" ref="B20" ca="1">INDIRECT("r"&amp;RANDBETWEEN(2,3))</f>
        <v>女</v>
      </c>
      <c r="C20" t="str" cm="1">
        <f t="array" aca="1" ref="C20" ca="1">INDIRECT("s"&amp;RANDBETWEEN(2,19))</f>
        <v>四川省</v>
      </c>
      <c r="D20" t="s">
        <v>161</v>
      </c>
      <c r="E20" t="str">
        <f t="shared" ca="1" si="0"/>
        <v>1989-8-24</v>
      </c>
      <c r="F20" t="str">
        <f t="shared" ca="1" si="1"/>
        <v>本科</v>
      </c>
      <c r="G20" t="str" cm="1">
        <f t="array" aca="1" ref="G20" ca="1">INDIRECT("w"&amp;RANDBETWEEN(2,1431))</f>
        <v>烟台大学</v>
      </c>
      <c r="H20" t="str" cm="1">
        <f t="array" aca="1" ref="H20" ca="1">IF(F20="本科",INDIRECT("y"&amp;RANDBETWEEN(3,12)),INDIRECT("z"&amp;RANDBETWEEN(3,11)))</f>
        <v>应用统计学</v>
      </c>
      <c r="I20" t="str">
        <f t="shared" ca="1" si="2"/>
        <v>数据分析</v>
      </c>
      <c r="J20" t="str" cm="1">
        <f t="array" aca="1" ref="J20" ca="1">_xlfn.IFS(I20=$O$3,INDIRECT("ac"&amp;RANDBETWEEN(2,7)),I20=$O$2,INDIRECT("ad"&amp;RANDBETWEEN(2,10)),I20=$O$4,INDIRECT("ab"&amp;RANDBETWEEN(2,35)),I20=$O$5,INDIRECT("ae"&amp;RANDBETWEEN(2,7)),I20=$O$6,INDIRECT("af"&amp;RANDBETWEEN(2,7)),I20=$O$7,INDIRECT("ab"&amp;RANDBETWEEN(2,35)))</f>
        <v>Spark,方差分析,INFOSYS,回归分析,参数检验,Flume,SPSS,Python</v>
      </c>
      <c r="K20">
        <f ca="1">IF(F20="本科",2021-T20-22,2021-T20-21)</f>
        <v>10</v>
      </c>
      <c r="T20">
        <f t="shared" ca="1" si="3"/>
        <v>1989</v>
      </c>
      <c r="U20">
        <f t="shared" ca="1" si="4"/>
        <v>8</v>
      </c>
      <c r="V20">
        <f t="shared" ca="1" si="5"/>
        <v>24</v>
      </c>
      <c r="W20" t="s">
        <v>181</v>
      </c>
      <c r="X20" t="s">
        <v>675</v>
      </c>
      <c r="Y20" t="s">
        <v>682</v>
      </c>
      <c r="Z20" t="s">
        <v>688</v>
      </c>
      <c r="AB20" s="3" t="s">
        <v>726</v>
      </c>
    </row>
    <row r="21" spans="1:29" x14ac:dyDescent="0.2">
      <c r="A21" t="s">
        <v>51</v>
      </c>
      <c r="B21" t="str" cm="1">
        <f t="array" aca="1" ref="B21" ca="1">INDIRECT("r"&amp;RANDBETWEEN(2,3))</f>
        <v>女</v>
      </c>
      <c r="C21" t="str" cm="1">
        <f t="array" aca="1" ref="C21" ca="1">INDIRECT("s"&amp;RANDBETWEEN(2,19))</f>
        <v>安徽省</v>
      </c>
      <c r="D21" t="s">
        <v>161</v>
      </c>
      <c r="E21" t="str">
        <f t="shared" ca="1" si="0"/>
        <v>1987-5-12</v>
      </c>
      <c r="F21" t="str">
        <f t="shared" ca="1" si="1"/>
        <v>本科</v>
      </c>
      <c r="G21" t="str" cm="1">
        <f t="array" aca="1" ref="G21" ca="1">INDIRECT("w"&amp;RANDBETWEEN(2,1431))</f>
        <v>西安工业大学</v>
      </c>
      <c r="H21" t="str" cm="1">
        <f t="array" aca="1" ref="H21" ca="1">IF(F21="本科",INDIRECT("y"&amp;RANDBETWEEN(3,12)),INDIRECT("z"&amp;RANDBETWEEN(3,11)))</f>
        <v>统计学</v>
      </c>
      <c r="I21" t="str">
        <f t="shared" ca="1" si="2"/>
        <v>数据分析</v>
      </c>
      <c r="J21" t="str" cm="1">
        <f t="array" aca="1" ref="J21" ca="1">_xlfn.IFS(I21=$O$3,INDIRECT("ac"&amp;RANDBETWEEN(2,7)),I21=$O$2,INDIRECT("ad"&amp;RANDBETWEEN(2,10)),I21=$O$4,INDIRECT("ab"&amp;RANDBETWEEN(2,35)),I21=$O$5,INDIRECT("ae"&amp;RANDBETWEEN(2,7)),I21=$O$6,INDIRECT("af"&amp;RANDBETWEEN(2,7)),I21=$O$7,INDIRECT("ab"&amp;RANDBETWEEN(2,35)))</f>
        <v>SQL,Power BI,Python</v>
      </c>
      <c r="K21">
        <f ca="1">IF(F21="本科",2021-T21-22,2021-T21-21)</f>
        <v>12</v>
      </c>
      <c r="T21">
        <f t="shared" ca="1" si="3"/>
        <v>1987</v>
      </c>
      <c r="U21">
        <f t="shared" ca="1" si="4"/>
        <v>5</v>
      </c>
      <c r="V21">
        <f t="shared" ca="1" si="5"/>
        <v>12</v>
      </c>
      <c r="W21" t="s">
        <v>182</v>
      </c>
      <c r="X21" t="s">
        <v>675</v>
      </c>
      <c r="Y21" t="s">
        <v>683</v>
      </c>
      <c r="Z21" t="s">
        <v>691</v>
      </c>
      <c r="AB21" s="4" t="s">
        <v>727</v>
      </c>
    </row>
    <row r="22" spans="1:29" x14ac:dyDescent="0.2">
      <c r="A22" t="s">
        <v>52</v>
      </c>
      <c r="B22" t="str" cm="1">
        <f t="array" aca="1" ref="B22" ca="1">INDIRECT("r"&amp;RANDBETWEEN(2,3))</f>
        <v>女</v>
      </c>
      <c r="C22" t="str" cm="1">
        <f t="array" aca="1" ref="C22" ca="1">INDIRECT("s"&amp;RANDBETWEEN(2,19))</f>
        <v>湖南省</v>
      </c>
      <c r="D22" t="s">
        <v>161</v>
      </c>
      <c r="E22" t="str">
        <f t="shared" ca="1" si="0"/>
        <v>1987-2-6</v>
      </c>
      <c r="F22" t="str">
        <f t="shared" ca="1" si="1"/>
        <v>高职专科</v>
      </c>
      <c r="G22" t="str" cm="1">
        <f t="array" aca="1" ref="G22" ca="1">INDIRECT("w"&amp;RANDBETWEEN(2,1431))</f>
        <v>成都纺织高等</v>
      </c>
      <c r="H22" t="str" cm="1">
        <f t="array" aca="1" ref="H22" ca="1">IF(F22="本科",INDIRECT("y"&amp;RANDBETWEEN(3,12)),INDIRECT("z"&amp;RANDBETWEEN(3,11)))</f>
        <v>软件技术</v>
      </c>
      <c r="I22" t="str">
        <f t="shared" ca="1" si="2"/>
        <v>软件开发</v>
      </c>
      <c r="J22" t="str" cm="1">
        <f t="array" aca="1" ref="J22" ca="1">_xlfn.IFS(I22=$O$3,INDIRECT("ac"&amp;RANDBETWEEN(2,7)),I22=$O$2,INDIRECT("ad"&amp;RANDBETWEEN(2,10)),I22=$O$4,INDIRECT("ab"&amp;RANDBETWEEN(2,35)),I22=$O$5,INDIRECT("ae"&amp;RANDBETWEEN(2,7)),I22=$O$6,INDIRECT("af"&amp;RANDBETWEEN(2,7)),I22=$O$7,INDIRECT("ab"&amp;RANDBETWEEN(2,35)))</f>
        <v>python,go</v>
      </c>
      <c r="K22">
        <f ca="1">IF(F22="本科",2021-T22-22,2021-T22-21)</f>
        <v>13</v>
      </c>
      <c r="T22">
        <f t="shared" ca="1" si="3"/>
        <v>1987</v>
      </c>
      <c r="U22">
        <f t="shared" ca="1" si="4"/>
        <v>2</v>
      </c>
      <c r="V22">
        <f t="shared" ca="1" si="5"/>
        <v>6</v>
      </c>
      <c r="W22" t="s">
        <v>183</v>
      </c>
      <c r="X22" t="s">
        <v>675</v>
      </c>
      <c r="Y22" t="s">
        <v>684</v>
      </c>
      <c r="Z22" t="s">
        <v>695</v>
      </c>
      <c r="AB22" s="3" t="s">
        <v>728</v>
      </c>
    </row>
    <row r="23" spans="1:29" ht="15" x14ac:dyDescent="0.2">
      <c r="A23" t="s">
        <v>53</v>
      </c>
      <c r="B23" t="str" cm="1">
        <f t="array" aca="1" ref="B23" ca="1">INDIRECT("r"&amp;RANDBETWEEN(2,3))</f>
        <v>男</v>
      </c>
      <c r="C23" t="str" cm="1">
        <f t="array" aca="1" ref="C23" ca="1">INDIRECT("s"&amp;RANDBETWEEN(2,19))</f>
        <v>四川省</v>
      </c>
      <c r="D23" t="s">
        <v>161</v>
      </c>
      <c r="E23" t="str">
        <f t="shared" ca="1" si="0"/>
        <v>1989-12-25</v>
      </c>
      <c r="F23" t="str">
        <f t="shared" ca="1" si="1"/>
        <v>本科</v>
      </c>
      <c r="G23" t="str" cm="1">
        <f t="array" aca="1" ref="G23" ca="1">INDIRECT("w"&amp;RANDBETWEEN(2,1431))</f>
        <v>中国矿业大学</v>
      </c>
      <c r="H23" t="str" cm="1">
        <f t="array" aca="1" ref="H23" ca="1">IF(F23="本科",INDIRECT("y"&amp;RANDBETWEEN(3,12)),INDIRECT("z"&amp;RANDBETWEEN(3,11)))</f>
        <v>信息与计算科学</v>
      </c>
      <c r="I23" t="str">
        <f t="shared" ca="1" si="2"/>
        <v>数据分析</v>
      </c>
      <c r="J23" t="str" cm="1">
        <f t="array" aca="1" ref="J23" ca="1">_xlfn.IFS(I23=$O$3,INDIRECT("ac"&amp;RANDBETWEEN(2,7)),I23=$O$2,INDIRECT("ad"&amp;RANDBETWEEN(2,10)),I23=$O$4,INDIRECT("ab"&amp;RANDBETWEEN(2,35)),I23=$O$5,INDIRECT("ae"&amp;RANDBETWEEN(2,7)),I23=$O$6,INDIRECT("af"&amp;RANDBETWEEN(2,7)),I23=$O$7,INDIRECT("ab"&amp;RANDBETWEEN(2,35)))</f>
        <v>Azkaban,Hive,Python,Java,Scala</v>
      </c>
      <c r="K23">
        <f ca="1">IF(F23="本科",2021-T23-22,2021-T23-21)</f>
        <v>10</v>
      </c>
      <c r="T23">
        <f t="shared" ca="1" si="3"/>
        <v>1989</v>
      </c>
      <c r="U23">
        <f t="shared" ca="1" si="4"/>
        <v>12</v>
      </c>
      <c r="V23">
        <f t="shared" ca="1" si="5"/>
        <v>25</v>
      </c>
      <c r="W23" t="s">
        <v>184</v>
      </c>
      <c r="X23" t="s">
        <v>675</v>
      </c>
      <c r="Y23" s="2" t="s">
        <v>700</v>
      </c>
      <c r="Z23" t="s">
        <v>691</v>
      </c>
      <c r="AB23" s="4" t="s">
        <v>729</v>
      </c>
    </row>
    <row r="24" spans="1:29" ht="15" x14ac:dyDescent="0.2">
      <c r="A24" t="s">
        <v>54</v>
      </c>
      <c r="B24" t="str" cm="1">
        <f t="array" aca="1" ref="B24" ca="1">INDIRECT("r"&amp;RANDBETWEEN(2,3))</f>
        <v>男</v>
      </c>
      <c r="C24" t="str" cm="1">
        <f t="array" aca="1" ref="C24" ca="1">INDIRECT("s"&amp;RANDBETWEEN(2,19))</f>
        <v>福建省</v>
      </c>
      <c r="D24" t="s">
        <v>161</v>
      </c>
      <c r="E24" t="str">
        <f t="shared" ca="1" si="0"/>
        <v>1998-2-25</v>
      </c>
      <c r="F24" t="str">
        <f t="shared" ca="1" si="1"/>
        <v>本科</v>
      </c>
      <c r="G24" t="str" cm="1">
        <f t="array" aca="1" ref="G24" ca="1">INDIRECT("w"&amp;RANDBETWEEN(2,1431))</f>
        <v>黑龙江工商学</v>
      </c>
      <c r="H24" t="str" cm="1">
        <f t="array" aca="1" ref="H24" ca="1">IF(F24="本科",INDIRECT("y"&amp;RANDBETWEEN(3,12)),INDIRECT("z"&amp;RANDBETWEEN(3,11)))</f>
        <v>数学与应用数学</v>
      </c>
      <c r="I24" t="str">
        <f t="shared" ca="1" si="2"/>
        <v>数据分析</v>
      </c>
      <c r="J24" t="str" cm="1">
        <f t="array" aca="1" ref="J24" ca="1">_xlfn.IFS(I24=$O$3,INDIRECT("ac"&amp;RANDBETWEEN(2,7)),I24=$O$2,INDIRECT("ad"&amp;RANDBETWEEN(2,10)),I24=$O$4,INDIRECT("ab"&amp;RANDBETWEEN(2,35)),I24=$O$5,INDIRECT("ae"&amp;RANDBETWEEN(2,7)),I24=$O$6,INDIRECT("af"&amp;RANDBETWEEN(2,7)),I24=$O$7,INDIRECT("ab"&amp;RANDBETWEEN(2,35)))</f>
        <v>Azkaban,Hive,Python,Java,Scala</v>
      </c>
      <c r="K24">
        <f ca="1">IF(F24="本科",2021-T24-22,2021-T24-21)</f>
        <v>1</v>
      </c>
      <c r="T24">
        <f t="shared" ca="1" si="3"/>
        <v>1998</v>
      </c>
      <c r="U24">
        <f t="shared" ca="1" si="4"/>
        <v>2</v>
      </c>
      <c r="V24">
        <f t="shared" ca="1" si="5"/>
        <v>25</v>
      </c>
      <c r="W24" t="s">
        <v>185</v>
      </c>
      <c r="X24" t="s">
        <v>675</v>
      </c>
      <c r="Y24" s="2" t="s">
        <v>701</v>
      </c>
      <c r="Z24" t="s">
        <v>691</v>
      </c>
      <c r="AB24" s="3" t="s">
        <v>730</v>
      </c>
      <c r="AC24">
        <v>530702</v>
      </c>
    </row>
    <row r="25" spans="1:29" ht="15" x14ac:dyDescent="0.2">
      <c r="A25" t="s">
        <v>55</v>
      </c>
      <c r="B25" t="str" cm="1">
        <f t="array" aca="1" ref="B25" ca="1">INDIRECT("r"&amp;RANDBETWEEN(2,3))</f>
        <v>男</v>
      </c>
      <c r="C25" t="str" cm="1">
        <f t="array" aca="1" ref="C25" ca="1">INDIRECT("s"&amp;RANDBETWEEN(2,19))</f>
        <v>湖南省</v>
      </c>
      <c r="D25" t="s">
        <v>161</v>
      </c>
      <c r="E25" t="str">
        <f t="shared" ca="1" si="0"/>
        <v>1990-12-1</v>
      </c>
      <c r="F25" t="str">
        <f t="shared" ca="1" si="1"/>
        <v>本科</v>
      </c>
      <c r="G25" t="str" cm="1">
        <f t="array" aca="1" ref="G25" ca="1">INDIRECT("w"&amp;RANDBETWEEN(2,1431))</f>
        <v>烟台大学</v>
      </c>
      <c r="H25" t="str" cm="1">
        <f t="array" aca="1" ref="H25" ca="1">IF(F25="本科",INDIRECT("y"&amp;RANDBETWEEN(3,12)),INDIRECT("z"&amp;RANDBETWEEN(3,11)))</f>
        <v>软件工程</v>
      </c>
      <c r="I25" t="str">
        <f t="shared" ca="1" si="2"/>
        <v>软件开发</v>
      </c>
      <c r="J25" t="str" cm="1">
        <f t="array" aca="1" ref="J25" ca="1">_xlfn.IFS(I25=$O$3,INDIRECT("ac"&amp;RANDBETWEEN(2,7)),I25=$O$2,INDIRECT("ad"&amp;RANDBETWEEN(2,10)),I25=$O$4,INDIRECT("ab"&amp;RANDBETWEEN(2,35)),I25=$O$5,INDIRECT("ae"&amp;RANDBETWEEN(2,7)),I25=$O$6,INDIRECT("af"&amp;RANDBETWEEN(2,7)),I25=$O$7,INDIRECT("ab"&amp;RANDBETWEEN(2,35)))</f>
        <v>sql,.net,Spring</v>
      </c>
      <c r="K25">
        <f ca="1">IF(F25="本科",2021-T25-22,2021-T25-21)</f>
        <v>9</v>
      </c>
      <c r="T25">
        <f t="shared" ca="1" si="3"/>
        <v>1990</v>
      </c>
      <c r="U25">
        <f t="shared" ca="1" si="4"/>
        <v>12</v>
      </c>
      <c r="V25">
        <f t="shared" ca="1" si="5"/>
        <v>1</v>
      </c>
      <c r="W25" t="s">
        <v>186</v>
      </c>
      <c r="X25" t="s">
        <v>675</v>
      </c>
      <c r="Y25" s="2" t="s">
        <v>702</v>
      </c>
      <c r="Z25" t="s">
        <v>691</v>
      </c>
      <c r="AB25" s="4" t="s">
        <v>731</v>
      </c>
      <c r="AC25">
        <v>530703</v>
      </c>
    </row>
    <row r="26" spans="1:29" ht="15" x14ac:dyDescent="0.2">
      <c r="A26" t="s">
        <v>56</v>
      </c>
      <c r="B26" t="str" cm="1">
        <f t="array" aca="1" ref="B26" ca="1">INDIRECT("r"&amp;RANDBETWEEN(2,3))</f>
        <v>男</v>
      </c>
      <c r="C26" t="str" cm="1">
        <f t="array" aca="1" ref="C26" ca="1">INDIRECT("s"&amp;RANDBETWEEN(2,19))</f>
        <v>贵州省</v>
      </c>
      <c r="D26" t="s">
        <v>161</v>
      </c>
      <c r="E26" t="str">
        <f t="shared" ca="1" si="0"/>
        <v>1996-6-4</v>
      </c>
      <c r="F26" t="str">
        <f t="shared" ca="1" si="1"/>
        <v>本科</v>
      </c>
      <c r="G26" t="str" cm="1">
        <f t="array" aca="1" ref="G26" ca="1">INDIRECT("w"&amp;RANDBETWEEN(2,1431))</f>
        <v>上海电力学院</v>
      </c>
      <c r="H26" t="str" cm="1">
        <f t="array" aca="1" ref="H26" ca="1">IF(F26="本科",INDIRECT("y"&amp;RANDBETWEEN(3,12)),INDIRECT("z"&amp;RANDBETWEEN(3,11)))</f>
        <v>新媒体技术</v>
      </c>
      <c r="I26" t="str">
        <f t="shared" ca="1" si="2"/>
        <v>新媒体运营</v>
      </c>
      <c r="J26" t="str" cm="1">
        <f t="array" aca="1" ref="J26" ca="1">_xlfn.IFS(I26=$O$3,INDIRECT("ac"&amp;RANDBETWEEN(2,7)),I26=$O$2,INDIRECT("ad"&amp;RANDBETWEEN(2,10)),I26=$O$4,INDIRECT("ab"&amp;RANDBETWEEN(2,35)),I26=$O$5,INDIRECT("ae"&amp;RANDBETWEEN(2,7)),I26=$O$6,INDIRECT("af"&amp;RANDBETWEEN(2,7)),I26=$O$7,INDIRECT("ab"&amp;RANDBETWEEN(2,35)))</f>
        <v>新媒体运营,电商运营</v>
      </c>
      <c r="K26">
        <f ca="1">IF(F26="本科",2021-T26-22,2021-T26-21)</f>
        <v>3</v>
      </c>
      <c r="T26">
        <f t="shared" ca="1" si="3"/>
        <v>1996</v>
      </c>
      <c r="U26">
        <f t="shared" ca="1" si="4"/>
        <v>6</v>
      </c>
      <c r="V26">
        <f t="shared" ca="1" si="5"/>
        <v>4</v>
      </c>
      <c r="W26" t="s">
        <v>187</v>
      </c>
      <c r="X26" t="s">
        <v>675</v>
      </c>
      <c r="Y26" s="2" t="s">
        <v>703</v>
      </c>
      <c r="Z26" t="s">
        <v>691</v>
      </c>
      <c r="AB26" s="3" t="s">
        <v>732</v>
      </c>
      <c r="AC26">
        <v>530704</v>
      </c>
    </row>
    <row r="27" spans="1:29" ht="15" x14ac:dyDescent="0.2">
      <c r="A27" t="s">
        <v>57</v>
      </c>
      <c r="B27" t="str" cm="1">
        <f t="array" aca="1" ref="B27" ca="1">INDIRECT("r"&amp;RANDBETWEEN(2,3))</f>
        <v>女</v>
      </c>
      <c r="C27" t="str" cm="1">
        <f t="array" aca="1" ref="C27" ca="1">INDIRECT("s"&amp;RANDBETWEEN(2,19))</f>
        <v>山西省</v>
      </c>
      <c r="D27" t="s">
        <v>161</v>
      </c>
      <c r="E27" t="str">
        <f t="shared" ca="1" si="0"/>
        <v>1991-10-22</v>
      </c>
      <c r="F27" t="str">
        <f t="shared" ca="1" si="1"/>
        <v>本科</v>
      </c>
      <c r="G27" t="str" cm="1">
        <f t="array" aca="1" ref="G27" ca="1">INDIRECT("w"&amp;RANDBETWEEN(2,1431))</f>
        <v>塔里木大学</v>
      </c>
      <c r="H27" t="str" cm="1">
        <f t="array" aca="1" ref="H27" ca="1">IF(F27="本科",INDIRECT("y"&amp;RANDBETWEEN(3,12)),INDIRECT("z"&amp;RANDBETWEEN(3,11)))</f>
        <v>软件工程</v>
      </c>
      <c r="I27" t="str">
        <f t="shared" ca="1" si="2"/>
        <v>软件开发</v>
      </c>
      <c r="J27" t="str" cm="1">
        <f t="array" aca="1" ref="J27" ca="1">_xlfn.IFS(I27=$O$3,INDIRECT("ac"&amp;RANDBETWEEN(2,7)),I27=$O$2,INDIRECT("ad"&amp;RANDBETWEEN(2,10)),I27=$O$4,INDIRECT("ab"&amp;RANDBETWEEN(2,35)),I27=$O$5,INDIRECT("ae"&amp;RANDBETWEEN(2,7)),I27=$O$6,INDIRECT("af"&amp;RANDBETWEEN(2,7)),I27=$O$7,INDIRECT("ab"&amp;RANDBETWEEN(2,35)))</f>
        <v>Hibernate,Dubbo,Oracle</v>
      </c>
      <c r="K27">
        <f ca="1">IF(F27="本科",2021-T27-22,2021-T27-21)</f>
        <v>8</v>
      </c>
      <c r="T27">
        <f t="shared" ca="1" si="3"/>
        <v>1991</v>
      </c>
      <c r="U27">
        <f t="shared" ca="1" si="4"/>
        <v>10</v>
      </c>
      <c r="V27">
        <f t="shared" ca="1" si="5"/>
        <v>22</v>
      </c>
      <c r="W27" t="s">
        <v>188</v>
      </c>
      <c r="X27" t="s">
        <v>675</v>
      </c>
      <c r="Y27" s="2" t="s">
        <v>704</v>
      </c>
      <c r="Z27" t="s">
        <v>691</v>
      </c>
      <c r="AB27" s="4" t="s">
        <v>733</v>
      </c>
      <c r="AC27">
        <v>530705</v>
      </c>
    </row>
    <row r="28" spans="1:29" ht="15" x14ac:dyDescent="0.2">
      <c r="A28" t="s">
        <v>58</v>
      </c>
      <c r="B28" t="str" cm="1">
        <f t="array" aca="1" ref="B28" ca="1">INDIRECT("r"&amp;RANDBETWEEN(2,3))</f>
        <v>男</v>
      </c>
      <c r="C28" t="str" cm="1">
        <f t="array" aca="1" ref="C28" ca="1">INDIRECT("s"&amp;RANDBETWEEN(2,19))</f>
        <v>江西省</v>
      </c>
      <c r="D28" t="s">
        <v>161</v>
      </c>
      <c r="E28" t="str">
        <f t="shared" ca="1" si="0"/>
        <v>1991-2-13</v>
      </c>
      <c r="F28" t="str">
        <f t="shared" ca="1" si="1"/>
        <v>本科</v>
      </c>
      <c r="G28" t="str" cm="1">
        <f t="array" aca="1" ref="G28" ca="1">INDIRECT("w"&amp;RANDBETWEEN(2,1431))</f>
        <v>枣庄学院</v>
      </c>
      <c r="H28" t="str" cm="1">
        <f t="array" aca="1" ref="H28" ca="1">IF(F28="本科",INDIRECT("y"&amp;RANDBETWEEN(3,12)),INDIRECT("z"&amp;RANDBETWEEN(3,11)))</f>
        <v>新媒体技术</v>
      </c>
      <c r="I28" t="str">
        <f t="shared" ca="1" si="2"/>
        <v>新媒体运营</v>
      </c>
      <c r="J28" t="str" cm="1">
        <f t="array" aca="1" ref="J28" ca="1">_xlfn.IFS(I28=$O$3,INDIRECT("ac"&amp;RANDBETWEEN(2,7)),I28=$O$2,INDIRECT("ad"&amp;RANDBETWEEN(2,10)),I28=$O$4,INDIRECT("ab"&amp;RANDBETWEEN(2,35)),I28=$O$5,INDIRECT("ae"&amp;RANDBETWEEN(2,7)),I28=$O$6,INDIRECT("af"&amp;RANDBETWEEN(2,7)),I28=$O$7,INDIRECT("ab"&amp;RANDBETWEEN(2,35)))</f>
        <v>活动策划,软文推广,H5制作</v>
      </c>
      <c r="K28">
        <f ca="1">IF(F28="本科",2021-T28-22,2021-T28-21)</f>
        <v>8</v>
      </c>
      <c r="T28">
        <f t="shared" ca="1" si="3"/>
        <v>1991</v>
      </c>
      <c r="U28">
        <f t="shared" ca="1" si="4"/>
        <v>2</v>
      </c>
      <c r="V28">
        <f t="shared" ca="1" si="5"/>
        <v>13</v>
      </c>
      <c r="W28" t="s">
        <v>189</v>
      </c>
      <c r="X28" t="s">
        <v>675</v>
      </c>
      <c r="Y28" s="2" t="s">
        <v>705</v>
      </c>
      <c r="Z28" t="s">
        <v>691</v>
      </c>
      <c r="AB28" s="3" t="s">
        <v>734</v>
      </c>
      <c r="AC28">
        <v>530706</v>
      </c>
    </row>
    <row r="29" spans="1:29" x14ac:dyDescent="0.2">
      <c r="A29" t="s">
        <v>59</v>
      </c>
      <c r="B29" t="str" cm="1">
        <f t="array" aca="1" ref="B29" ca="1">INDIRECT("r"&amp;RANDBETWEEN(2,3))</f>
        <v>男</v>
      </c>
      <c r="C29" t="str" cm="1">
        <f t="array" aca="1" ref="C29" ca="1">INDIRECT("s"&amp;RANDBETWEEN(2,19))</f>
        <v>贵州省</v>
      </c>
      <c r="D29" t="s">
        <v>161</v>
      </c>
      <c r="E29" t="str">
        <f t="shared" ca="1" si="0"/>
        <v>1992-9-3</v>
      </c>
      <c r="F29" t="str">
        <f t="shared" ca="1" si="1"/>
        <v>本科</v>
      </c>
      <c r="G29" t="str" cm="1">
        <f t="array" aca="1" ref="G29" ca="1">INDIRECT("w"&amp;RANDBETWEEN(2,1431))</f>
        <v>安康学院</v>
      </c>
      <c r="H29" t="str" cm="1">
        <f t="array" aca="1" ref="H29" ca="1">IF(F29="本科",INDIRECT("y"&amp;RANDBETWEEN(3,12)),INDIRECT("z"&amp;RANDBETWEEN(3,11)))</f>
        <v>数据科学与大数据技术</v>
      </c>
      <c r="I29" t="str">
        <f t="shared" ca="1" si="2"/>
        <v>数据分析</v>
      </c>
      <c r="J29" t="str" cm="1">
        <f t="array" aca="1" ref="J29" ca="1">_xlfn.IFS(I29=$O$3,INDIRECT("ac"&amp;RANDBETWEEN(2,7)),I29=$O$2,INDIRECT("ad"&amp;RANDBETWEEN(2,10)),I29=$O$4,INDIRECT("ab"&amp;RANDBETWEEN(2,35)),I29=$O$5,INDIRECT("ae"&amp;RANDBETWEEN(2,7)),I29=$O$6,INDIRECT("af"&amp;RANDBETWEEN(2,7)),I29=$O$7,INDIRECT("ab"&amp;RANDBETWEEN(2,35)))</f>
        <v>Excel</v>
      </c>
      <c r="K29">
        <f ca="1">IF(F29="本科",2021-T29-22,2021-T29-21)</f>
        <v>7</v>
      </c>
      <c r="T29">
        <f t="shared" ca="1" si="3"/>
        <v>1992</v>
      </c>
      <c r="U29">
        <f t="shared" ca="1" si="4"/>
        <v>9</v>
      </c>
      <c r="V29">
        <f t="shared" ca="1" si="5"/>
        <v>3</v>
      </c>
      <c r="W29" t="s">
        <v>190</v>
      </c>
      <c r="X29" t="s">
        <v>675</v>
      </c>
      <c r="Y29" t="s">
        <v>677</v>
      </c>
      <c r="Z29" t="s">
        <v>707</v>
      </c>
      <c r="AB29" s="4" t="s">
        <v>735</v>
      </c>
    </row>
    <row r="30" spans="1:29" x14ac:dyDescent="0.2">
      <c r="A30" t="s">
        <v>60</v>
      </c>
      <c r="B30" t="str" cm="1">
        <f t="array" aca="1" ref="B30" ca="1">INDIRECT("r"&amp;RANDBETWEEN(2,3))</f>
        <v>女</v>
      </c>
      <c r="C30" t="str" cm="1">
        <f t="array" aca="1" ref="C30" ca="1">INDIRECT("s"&amp;RANDBETWEEN(2,19))</f>
        <v>辽宁省</v>
      </c>
      <c r="D30" t="s">
        <v>161</v>
      </c>
      <c r="E30" t="str">
        <f t="shared" ca="1" si="0"/>
        <v>1991-4-4</v>
      </c>
      <c r="F30" t="str">
        <f t="shared" ca="1" si="1"/>
        <v>本科</v>
      </c>
      <c r="G30" t="str" cm="1">
        <f t="array" aca="1" ref="G30" ca="1">INDIRECT("w"&amp;RANDBETWEEN(2,1431))</f>
        <v>河北大学</v>
      </c>
      <c r="H30" t="str" cm="1">
        <f t="array" aca="1" ref="H30" ca="1">IF(F30="本科",INDIRECT("y"&amp;RANDBETWEEN(3,12)),INDIRECT("z"&amp;RANDBETWEEN(3,11)))</f>
        <v>数学与应用数学</v>
      </c>
      <c r="I30" t="str">
        <f t="shared" ca="1" si="2"/>
        <v>数据分析</v>
      </c>
      <c r="J30" t="str" cm="1">
        <f t="array" aca="1" ref="J30" ca="1">_xlfn.IFS(I30=$O$3,INDIRECT("ac"&amp;RANDBETWEEN(2,7)),I30=$O$2,INDIRECT("ad"&amp;RANDBETWEEN(2,10)),I30=$O$4,INDIRECT("ab"&amp;RANDBETWEEN(2,35)),I30=$O$5,INDIRECT("ae"&amp;RANDBETWEEN(2,7)),I30=$O$6,INDIRECT("af"&amp;RANDBETWEEN(2,7)),I30=$O$7,INDIRECT("ab"&amp;RANDBETWEEN(2,35)))</f>
        <v>数学/统计学专业,项目型产品</v>
      </c>
      <c r="K30">
        <f ca="1">IF(F30="本科",2021-T30-22,2021-T30-21)</f>
        <v>8</v>
      </c>
      <c r="T30">
        <f t="shared" ca="1" si="3"/>
        <v>1991</v>
      </c>
      <c r="U30">
        <f t="shared" ca="1" si="4"/>
        <v>4</v>
      </c>
      <c r="V30">
        <f t="shared" ca="1" si="5"/>
        <v>4</v>
      </c>
      <c r="W30" t="s">
        <v>191</v>
      </c>
      <c r="X30" t="s">
        <v>675</v>
      </c>
      <c r="Y30" t="s">
        <v>678</v>
      </c>
      <c r="Z30" t="s">
        <v>688</v>
      </c>
      <c r="AB30" s="3" t="s">
        <v>736</v>
      </c>
    </row>
    <row r="31" spans="1:29" x14ac:dyDescent="0.2">
      <c r="A31" t="s">
        <v>61</v>
      </c>
      <c r="B31" t="str" cm="1">
        <f t="array" aca="1" ref="B31" ca="1">INDIRECT("r"&amp;RANDBETWEEN(2,3))</f>
        <v>男</v>
      </c>
      <c r="C31" t="str" cm="1">
        <f t="array" aca="1" ref="C31" ca="1">INDIRECT("s"&amp;RANDBETWEEN(2,19))</f>
        <v>云南省</v>
      </c>
      <c r="D31" t="s">
        <v>161</v>
      </c>
      <c r="E31" t="str">
        <f t="shared" ca="1" si="0"/>
        <v>1993-1-23</v>
      </c>
      <c r="F31" t="str">
        <f t="shared" ca="1" si="1"/>
        <v>本科</v>
      </c>
      <c r="G31" t="str" cm="1">
        <f t="array" aca="1" ref="G31" ca="1">INDIRECT("w"&amp;RANDBETWEEN(2,1431))</f>
        <v>枣庄学院</v>
      </c>
      <c r="H31" t="str" cm="1">
        <f t="array" aca="1" ref="H31" ca="1">IF(F31="本科",INDIRECT("y"&amp;RANDBETWEEN(3,12)),INDIRECT("z"&amp;RANDBETWEEN(3,11)))</f>
        <v>信息与计算科学</v>
      </c>
      <c r="I31" t="str">
        <f t="shared" ca="1" si="2"/>
        <v>数据分析</v>
      </c>
      <c r="J31" t="str" cm="1">
        <f t="array" aca="1" ref="J31" ca="1">_xlfn.IFS(I31=$O$3,INDIRECT("ac"&amp;RANDBETWEEN(2,7)),I31=$O$2,INDIRECT("ad"&amp;RANDBETWEEN(2,10)),I31=$O$4,INDIRECT("ab"&amp;RANDBETWEEN(2,35)),I31=$O$5,INDIRECT("ae"&amp;RANDBETWEEN(2,7)),I31=$O$6,INDIRECT("af"&amp;RANDBETWEEN(2,7)),I31=$O$7,INDIRECT("ab"&amp;RANDBETWEEN(2,35)))</f>
        <v>Python,SQL,数据挖掘,数据分析</v>
      </c>
      <c r="K31">
        <f ca="1">IF(F31="本科",2021-T31-22,2021-T31-21)</f>
        <v>6</v>
      </c>
      <c r="T31">
        <f t="shared" ca="1" si="3"/>
        <v>1993</v>
      </c>
      <c r="U31">
        <f t="shared" ca="1" si="4"/>
        <v>1</v>
      </c>
      <c r="V31">
        <f t="shared" ca="1" si="5"/>
        <v>23</v>
      </c>
      <c r="W31" t="s">
        <v>192</v>
      </c>
      <c r="X31" t="s">
        <v>675</v>
      </c>
      <c r="Y31" t="s">
        <v>679</v>
      </c>
      <c r="Z31" t="s">
        <v>691</v>
      </c>
      <c r="AB31" s="3" t="s">
        <v>734</v>
      </c>
    </row>
    <row r="32" spans="1:29" ht="15" x14ac:dyDescent="0.2">
      <c r="A32" t="s">
        <v>62</v>
      </c>
      <c r="B32" t="str" cm="1">
        <f t="array" aca="1" ref="B32" ca="1">INDIRECT("r"&amp;RANDBETWEEN(2,3))</f>
        <v>女</v>
      </c>
      <c r="C32" t="str" cm="1">
        <f t="array" aca="1" ref="C32" ca="1">INDIRECT("s"&amp;RANDBETWEEN(2,19))</f>
        <v>四川省</v>
      </c>
      <c r="D32" t="s">
        <v>161</v>
      </c>
      <c r="E32" t="str">
        <f t="shared" ca="1" si="0"/>
        <v>1988-3-24</v>
      </c>
      <c r="F32" t="str">
        <f t="shared" ca="1" si="1"/>
        <v>本科</v>
      </c>
      <c r="G32" t="str" cm="1">
        <f t="array" aca="1" ref="G32" ca="1">INDIRECT("w"&amp;RANDBETWEEN(2,1431))</f>
        <v>安阳工学院</v>
      </c>
      <c r="H32" t="str" cm="1">
        <f t="array" aca="1" ref="H32" ca="1">IF(F32="本科",INDIRECT("y"&amp;RANDBETWEEN(3,12)),INDIRECT("z"&amp;RANDBETWEEN(3,11)))</f>
        <v>数据计算及应用</v>
      </c>
      <c r="I32" t="str">
        <f t="shared" ca="1" si="2"/>
        <v>数据分析</v>
      </c>
      <c r="J32" t="str" cm="1">
        <f t="array" aca="1" ref="J32" ca="1">_xlfn.IFS(I32=$O$3,INDIRECT("ac"&amp;RANDBETWEEN(2,7)),I32=$O$2,INDIRECT("ad"&amp;RANDBETWEEN(2,10)),I32=$O$4,INDIRECT("ab"&amp;RANDBETWEEN(2,35)),I32=$O$5,INDIRECT("ae"&amp;RANDBETWEEN(2,7)),I32=$O$6,INDIRECT("af"&amp;RANDBETWEEN(2,7)),I32=$O$7,INDIRECT("ab"&amp;RANDBETWEEN(2,35)))</f>
        <v>SPSS,SAS,Python</v>
      </c>
      <c r="K32">
        <f ca="1">IF(F32="本科",2021-T32-22,2021-T32-21)</f>
        <v>11</v>
      </c>
      <c r="T32">
        <f t="shared" ca="1" si="3"/>
        <v>1988</v>
      </c>
      <c r="U32">
        <f t="shared" ca="1" si="4"/>
        <v>3</v>
      </c>
      <c r="V32">
        <f t="shared" ca="1" si="5"/>
        <v>24</v>
      </c>
      <c r="W32" t="s">
        <v>193</v>
      </c>
      <c r="X32" t="s">
        <v>675</v>
      </c>
      <c r="Y32" s="2" t="s">
        <v>699</v>
      </c>
      <c r="Z32" t="s">
        <v>691</v>
      </c>
      <c r="AB32" s="3" t="s">
        <v>737</v>
      </c>
    </row>
    <row r="33" spans="1:28" x14ac:dyDescent="0.2">
      <c r="A33" t="s">
        <v>63</v>
      </c>
      <c r="B33" t="str" cm="1">
        <f t="array" aca="1" ref="B33" ca="1">INDIRECT("r"&amp;RANDBETWEEN(2,3))</f>
        <v>女</v>
      </c>
      <c r="C33" t="str" cm="1">
        <f t="array" aca="1" ref="C33" ca="1">INDIRECT("s"&amp;RANDBETWEEN(2,19))</f>
        <v>山东省</v>
      </c>
      <c r="D33" t="s">
        <v>161</v>
      </c>
      <c r="E33" t="str">
        <f t="shared" ca="1" si="0"/>
        <v>1998-6-15</v>
      </c>
      <c r="F33" t="str">
        <f t="shared" ca="1" si="1"/>
        <v>本科</v>
      </c>
      <c r="G33" t="str" cm="1">
        <f t="array" aca="1" ref="G33" ca="1">INDIRECT("w"&amp;RANDBETWEEN(2,1431))</f>
        <v>长安大学</v>
      </c>
      <c r="H33" t="str" cm="1">
        <f t="array" aca="1" ref="H33" ca="1">IF(F33="本科",INDIRECT("y"&amp;RANDBETWEEN(3,12)),INDIRECT("z"&amp;RANDBETWEEN(3,11)))</f>
        <v>数据计算及应用</v>
      </c>
      <c r="I33" t="str">
        <f t="shared" ca="1" si="2"/>
        <v>数据分析</v>
      </c>
      <c r="J33" t="str" cm="1">
        <f t="array" aca="1" ref="J33" ca="1">_xlfn.IFS(I33=$O$3,INDIRECT("ac"&amp;RANDBETWEEN(2,7)),I33=$O$2,INDIRECT("ad"&amp;RANDBETWEEN(2,10)),I33=$O$4,INDIRECT("ab"&amp;RANDBETWEEN(2,35)),I33=$O$5,INDIRECT("ae"&amp;RANDBETWEEN(2,7)),I33=$O$6,INDIRECT("af"&amp;RANDBETWEEN(2,7)),I33=$O$7,INDIRECT("ab"&amp;RANDBETWEEN(2,35)))</f>
        <v>SQL,Python</v>
      </c>
      <c r="K33">
        <f ca="1">IF(F33="本科",2021-T33-22,2021-T33-21)</f>
        <v>1</v>
      </c>
      <c r="T33">
        <f t="shared" ca="1" si="3"/>
        <v>1998</v>
      </c>
      <c r="U33">
        <f t="shared" ca="1" si="4"/>
        <v>6</v>
      </c>
      <c r="V33">
        <f t="shared" ca="1" si="5"/>
        <v>15</v>
      </c>
      <c r="W33" t="s">
        <v>194</v>
      </c>
      <c r="X33" t="s">
        <v>675</v>
      </c>
      <c r="Y33" t="s">
        <v>685</v>
      </c>
      <c r="Z33" t="s">
        <v>688</v>
      </c>
      <c r="AB33" s="4" t="s">
        <v>738</v>
      </c>
    </row>
    <row r="34" spans="1:28" x14ac:dyDescent="0.2">
      <c r="A34" t="s">
        <v>64</v>
      </c>
      <c r="B34" t="str" cm="1">
        <f t="array" aca="1" ref="B34" ca="1">INDIRECT("r"&amp;RANDBETWEEN(2,3))</f>
        <v>男</v>
      </c>
      <c r="C34" t="str" cm="1">
        <f t="array" aca="1" ref="C34" ca="1">INDIRECT("s"&amp;RANDBETWEEN(2,19))</f>
        <v>四川省</v>
      </c>
      <c r="D34" t="s">
        <v>161</v>
      </c>
      <c r="E34" t="str">
        <f t="shared" ca="1" si="0"/>
        <v>1989-10-6</v>
      </c>
      <c r="F34" t="str">
        <f t="shared" ca="1" si="1"/>
        <v>高职专科</v>
      </c>
      <c r="G34" t="str" cm="1">
        <f t="array" aca="1" ref="G34" ca="1">INDIRECT("w"&amp;RANDBETWEEN(2,1431))</f>
        <v>盘锦职业技术</v>
      </c>
      <c r="H34" t="str" cm="1">
        <f t="array" aca="1" ref="H34" ca="1">IF(F34="本科",INDIRECT("y"&amp;RANDBETWEEN(3,12)),INDIRECT("z"&amp;RANDBETWEEN(3,11)))</f>
        <v>移动商务</v>
      </c>
      <c r="I34" t="str">
        <f t="shared" ca="1" si="2"/>
        <v>电子商务运营</v>
      </c>
      <c r="J34" t="str" cm="1">
        <f t="array" aca="1" ref="J34" ca="1">_xlfn.IFS(I34=$O$3,INDIRECT("ac"&amp;RANDBETWEEN(2,7)),I34=$O$2,INDIRECT("ad"&amp;RANDBETWEEN(2,10)),I34=$O$4,INDIRECT("ab"&amp;RANDBETWEEN(2,35)),I34=$O$5,INDIRECT("ae"&amp;RANDBETWEEN(2,7)),I34=$O$6,INDIRECT("af"&amp;RANDBETWEEN(2,7)),I34=$O$7,INDIRECT("ab"&amp;RANDBETWEEN(2,35)))</f>
        <v>C端用户运营，店铺运营</v>
      </c>
      <c r="K34">
        <f ca="1">IF(F34="本科",2021-T34-22,2021-T34-21)</f>
        <v>11</v>
      </c>
      <c r="T34">
        <f t="shared" ca="1" si="3"/>
        <v>1989</v>
      </c>
      <c r="U34">
        <f t="shared" ca="1" si="4"/>
        <v>10</v>
      </c>
      <c r="V34">
        <f t="shared" ca="1" si="5"/>
        <v>6</v>
      </c>
      <c r="W34" t="s">
        <v>195</v>
      </c>
      <c r="X34" t="s">
        <v>675</v>
      </c>
      <c r="Y34" t="s">
        <v>689</v>
      </c>
      <c r="Z34" t="s">
        <v>693</v>
      </c>
      <c r="AB34" s="3" t="s">
        <v>739</v>
      </c>
    </row>
    <row r="35" spans="1:28" x14ac:dyDescent="0.2">
      <c r="A35" t="s">
        <v>65</v>
      </c>
      <c r="B35" t="str" cm="1">
        <f t="array" aca="1" ref="B35" ca="1">INDIRECT("r"&amp;RANDBETWEEN(2,3))</f>
        <v>男</v>
      </c>
      <c r="C35" t="str" cm="1">
        <f t="array" aca="1" ref="C35" ca="1">INDIRECT("s"&amp;RANDBETWEEN(2,19))</f>
        <v>河北省</v>
      </c>
      <c r="D35" t="s">
        <v>161</v>
      </c>
      <c r="E35" t="str">
        <f t="shared" ca="1" si="0"/>
        <v>1996-12-8</v>
      </c>
      <c r="F35" t="str">
        <f t="shared" ca="1" si="1"/>
        <v>高职专科</v>
      </c>
      <c r="G35" t="str" cm="1">
        <f t="array" aca="1" ref="G35" ca="1">INDIRECT("w"&amp;RANDBETWEEN(2,1431))</f>
        <v>承德石油高等</v>
      </c>
      <c r="H35" t="str" cm="1">
        <f t="array" aca="1" ref="H35" ca="1">IF(F35="本科",INDIRECT("y"&amp;RANDBETWEEN(3,12)),INDIRECT("z"&amp;RANDBETWEEN(3,11)))</f>
        <v>大数据技术</v>
      </c>
      <c r="I35" t="str">
        <f t="shared" ca="1" si="2"/>
        <v>数据分析</v>
      </c>
      <c r="J35" t="str" cm="1">
        <f t="array" aca="1" ref="J35" ca="1">_xlfn.IFS(I35=$O$3,INDIRECT("ac"&amp;RANDBETWEEN(2,7)),I35=$O$2,INDIRECT("ad"&amp;RANDBETWEEN(2,10)),I35=$O$4,INDIRECT("ab"&amp;RANDBETWEEN(2,35)),I35=$O$5,INDIRECT("ae"&amp;RANDBETWEEN(2,7)),I35=$O$6,INDIRECT("af"&amp;RANDBETWEEN(2,7)),I35=$O$7,INDIRECT("ab"&amp;RANDBETWEEN(2,35)))</f>
        <v>Python,SQL,数据挖掘,数据分析</v>
      </c>
      <c r="K35">
        <f ca="1">IF(F35="本科",2021-T35-22,2021-T35-21)</f>
        <v>4</v>
      </c>
      <c r="T35">
        <f t="shared" ca="1" si="3"/>
        <v>1996</v>
      </c>
      <c r="U35">
        <f t="shared" ca="1" si="4"/>
        <v>12</v>
      </c>
      <c r="V35">
        <f t="shared" ca="1" si="5"/>
        <v>8</v>
      </c>
      <c r="W35" t="s">
        <v>196</v>
      </c>
      <c r="X35" t="s">
        <v>675</v>
      </c>
      <c r="Y35" t="s">
        <v>696</v>
      </c>
      <c r="Z35" t="s">
        <v>693</v>
      </c>
      <c r="AB35" s="4" t="s">
        <v>740</v>
      </c>
    </row>
    <row r="36" spans="1:28" x14ac:dyDescent="0.2">
      <c r="A36" t="s">
        <v>66</v>
      </c>
      <c r="B36" t="str" cm="1">
        <f t="array" aca="1" ref="B36" ca="1">INDIRECT("r"&amp;RANDBETWEEN(2,3))</f>
        <v>女</v>
      </c>
      <c r="C36" t="str" cm="1">
        <f t="array" aca="1" ref="C36" ca="1">INDIRECT("s"&amp;RANDBETWEEN(2,19))</f>
        <v>辽宁省</v>
      </c>
      <c r="D36" t="s">
        <v>161</v>
      </c>
      <c r="E36" t="str">
        <f t="shared" ca="1" si="0"/>
        <v>1990-9-10</v>
      </c>
      <c r="F36" t="str">
        <f t="shared" ca="1" si="1"/>
        <v>高职专科</v>
      </c>
      <c r="G36" t="str" cm="1">
        <f t="array" aca="1" ref="G36" ca="1">INDIRECT("w"&amp;RANDBETWEEN(2,1431))</f>
        <v>上海民航职业</v>
      </c>
      <c r="H36" t="str" cm="1">
        <f t="array" aca="1" ref="H36" ca="1">IF(F36="本科",INDIRECT("y"&amp;RANDBETWEEN(3,12)),INDIRECT("z"&amp;RANDBETWEEN(3,11)))</f>
        <v>计算机网络技术</v>
      </c>
      <c r="I36" t="str">
        <f t="shared" ca="1" si="2"/>
        <v>前端</v>
      </c>
      <c r="J36" t="str" cm="1">
        <f t="array" aca="1" ref="J36" ca="1">_xlfn.IFS(I36=$O$3,INDIRECT("ac"&amp;RANDBETWEEN(2,7)),I36=$O$2,INDIRECT("ad"&amp;RANDBETWEEN(2,10)),I36=$O$4,INDIRECT("ab"&amp;RANDBETWEEN(2,35)),I36=$O$5,INDIRECT("ae"&amp;RANDBETWEEN(2,7)),I36=$O$6,INDIRECT("af"&amp;RANDBETWEEN(2,7)),I36=$O$7,INDIRECT("ab"&amp;RANDBETWEEN(2,35)))</f>
        <v>Node.js,HTML,CSS,JavaScript,ES6</v>
      </c>
      <c r="K36">
        <f ca="1">IF(F36="本科",2021-T36-22,2021-T36-21)</f>
        <v>10</v>
      </c>
      <c r="T36">
        <f t="shared" ca="1" si="3"/>
        <v>1990</v>
      </c>
      <c r="U36">
        <f t="shared" ca="1" si="4"/>
        <v>9</v>
      </c>
      <c r="V36">
        <f t="shared" ca="1" si="5"/>
        <v>10</v>
      </c>
      <c r="W36" t="s">
        <v>197</v>
      </c>
      <c r="X36" t="s">
        <v>675</v>
      </c>
      <c r="Y36" t="s">
        <v>697</v>
      </c>
      <c r="Z36" t="s">
        <v>693</v>
      </c>
      <c r="AB36" s="3" t="s">
        <v>715</v>
      </c>
    </row>
    <row r="37" spans="1:28" x14ac:dyDescent="0.2">
      <c r="A37" t="s">
        <v>67</v>
      </c>
      <c r="B37" t="str" cm="1">
        <f t="array" aca="1" ref="B37" ca="1">INDIRECT("r"&amp;RANDBETWEEN(2,3))</f>
        <v>男</v>
      </c>
      <c r="C37" t="str" cm="1">
        <f t="array" aca="1" ref="C37" ca="1">INDIRECT("s"&amp;RANDBETWEEN(2,19))</f>
        <v>湖南省</v>
      </c>
      <c r="D37" t="s">
        <v>161</v>
      </c>
      <c r="E37" t="str">
        <f t="shared" ca="1" si="0"/>
        <v>1998-3-28</v>
      </c>
      <c r="F37" t="str">
        <f t="shared" ca="1" si="1"/>
        <v>本科</v>
      </c>
      <c r="G37" t="str" cm="1">
        <f t="array" aca="1" ref="G37" ca="1">INDIRECT("w"&amp;RANDBETWEEN(2,1431))</f>
        <v>温州大学</v>
      </c>
      <c r="H37" t="str" cm="1">
        <f t="array" aca="1" ref="H37" ca="1">IF(F37="本科",INDIRECT("y"&amp;RANDBETWEEN(3,12)),INDIRECT("z"&amp;RANDBETWEEN(3,11)))</f>
        <v>软件工程</v>
      </c>
      <c r="I37" t="str">
        <f t="shared" ca="1" si="2"/>
        <v>软件开发</v>
      </c>
      <c r="J37" t="str" cm="1">
        <f t="array" aca="1" ref="J37" ca="1">_xlfn.IFS(I37=$O$3,INDIRECT("ac"&amp;RANDBETWEEN(2,7)),I37=$O$2,INDIRECT("ad"&amp;RANDBETWEEN(2,10)),I37=$O$4,INDIRECT("ab"&amp;RANDBETWEEN(2,35)),I37=$O$5,INDIRECT("ae"&amp;RANDBETWEEN(2,7)),I37=$O$6,INDIRECT("af"&amp;RANDBETWEEN(2,7)),I37=$O$7,INDIRECT("ab"&amp;RANDBETWEEN(2,35)))</f>
        <v>C#,C++,.NET,MVC开发</v>
      </c>
      <c r="K37">
        <f ca="1">IF(F37="本科",2021-T37-22,2021-T37-21)</f>
        <v>1</v>
      </c>
      <c r="T37">
        <f t="shared" ca="1" si="3"/>
        <v>1998</v>
      </c>
      <c r="U37">
        <f t="shared" ca="1" si="4"/>
        <v>3</v>
      </c>
      <c r="V37">
        <f t="shared" ca="1" si="5"/>
        <v>28</v>
      </c>
      <c r="W37" t="s">
        <v>198</v>
      </c>
      <c r="X37" t="s">
        <v>675</v>
      </c>
      <c r="Y37" t="s">
        <v>698</v>
      </c>
      <c r="Z37" t="s">
        <v>709</v>
      </c>
      <c r="AB37" s="4" t="s">
        <v>716</v>
      </c>
    </row>
    <row r="38" spans="1:28" x14ac:dyDescent="0.2">
      <c r="A38" t="s">
        <v>68</v>
      </c>
      <c r="B38" t="str" cm="1">
        <f t="array" aca="1" ref="B38" ca="1">INDIRECT("r"&amp;RANDBETWEEN(2,3))</f>
        <v>男</v>
      </c>
      <c r="C38" t="str" cm="1">
        <f t="array" aca="1" ref="C38" ca="1">INDIRECT("s"&amp;RANDBETWEEN(2,19))</f>
        <v>湖北省</v>
      </c>
      <c r="D38" t="s">
        <v>161</v>
      </c>
      <c r="E38" t="str">
        <f t="shared" ca="1" si="0"/>
        <v>1989-1-2</v>
      </c>
      <c r="F38" t="str">
        <f t="shared" ca="1" si="1"/>
        <v>本科</v>
      </c>
      <c r="G38" t="str" cm="1">
        <f t="array" aca="1" ref="G38" ca="1">INDIRECT("w"&amp;RANDBETWEEN(2,1431))</f>
        <v>东北电力大学</v>
      </c>
      <c r="H38" t="str" cm="1">
        <f t="array" aca="1" ref="H38" ca="1">IF(F38="本科",INDIRECT("y"&amp;RANDBETWEEN(3,12)),INDIRECT("z"&amp;RANDBETWEEN(3,11)))</f>
        <v>数理基础科学</v>
      </c>
      <c r="I38" t="str">
        <f t="shared" ca="1" si="2"/>
        <v>数据分析</v>
      </c>
      <c r="J38" t="str" cm="1">
        <f t="array" aca="1" ref="J38" ca="1">_xlfn.IFS(I38=$O$3,INDIRECT("ac"&amp;RANDBETWEEN(2,7)),I38=$O$2,INDIRECT("ad"&amp;RANDBETWEEN(2,10)),I38=$O$4,INDIRECT("ab"&amp;RANDBETWEEN(2,35)),I38=$O$5,INDIRECT("ae"&amp;RANDBETWEEN(2,7)),I38=$O$6,INDIRECT("af"&amp;RANDBETWEEN(2,7)),I38=$O$7,INDIRECT("ab"&amp;RANDBETWEEN(2,35)))</f>
        <v>数据分析</v>
      </c>
      <c r="K38">
        <f ca="1">IF(F38="本科",2021-T38-22,2021-T38-21)</f>
        <v>10</v>
      </c>
      <c r="T38">
        <f t="shared" ca="1" si="3"/>
        <v>1989</v>
      </c>
      <c r="U38">
        <f t="shared" ca="1" si="4"/>
        <v>1</v>
      </c>
      <c r="V38">
        <f t="shared" ca="1" si="5"/>
        <v>2</v>
      </c>
      <c r="W38" t="s">
        <v>173</v>
      </c>
      <c r="X38" t="s">
        <v>675</v>
      </c>
      <c r="AB38" s="3" t="s">
        <v>741</v>
      </c>
    </row>
    <row r="39" spans="1:28" x14ac:dyDescent="0.2">
      <c r="A39" t="s">
        <v>69</v>
      </c>
      <c r="B39" t="str" cm="1">
        <f t="array" aca="1" ref="B39" ca="1">INDIRECT("r"&amp;RANDBETWEEN(2,3))</f>
        <v>女</v>
      </c>
      <c r="C39" t="str" cm="1">
        <f t="array" aca="1" ref="C39" ca="1">INDIRECT("s"&amp;RANDBETWEEN(2,19))</f>
        <v>吉林省</v>
      </c>
      <c r="D39" t="s">
        <v>161</v>
      </c>
      <c r="E39" t="str">
        <f t="shared" ca="1" si="0"/>
        <v>1998-2-18</v>
      </c>
      <c r="F39" t="str">
        <f t="shared" ca="1" si="1"/>
        <v>高职专科</v>
      </c>
      <c r="G39" t="str" cm="1">
        <f t="array" aca="1" ref="G39" ca="1">INDIRECT("w"&amp;RANDBETWEEN(2,1431))</f>
        <v>大连东软信息</v>
      </c>
      <c r="H39" t="str" cm="1">
        <f t="array" aca="1" ref="H39" ca="1">IF(F39="本科",INDIRECT("y"&amp;RANDBETWEEN(3,12)),INDIRECT("z"&amp;RANDBETWEEN(3,11)))</f>
        <v>商务数据分析与应用</v>
      </c>
      <c r="I39" t="str">
        <f t="shared" ca="1" si="2"/>
        <v>电子商务数据分析</v>
      </c>
      <c r="J39" t="str" cm="1">
        <f t="array" aca="1" ref="J39" ca="1">_xlfn.IFS(I39=$O$3,INDIRECT("ac"&amp;RANDBETWEEN(2,7)),I39=$O$2,INDIRECT("ad"&amp;RANDBETWEEN(2,10)),I39=$O$4,INDIRECT("ab"&amp;RANDBETWEEN(2,35)),I39=$O$5,INDIRECT("ae"&amp;RANDBETWEEN(2,7)),I39=$O$6,INDIRECT("af"&amp;RANDBETWEEN(2,7)),I39=$O$7,INDIRECT("ab"&amp;RANDBETWEEN(2,35)))</f>
        <v>Excel,Matlab,Hadoop,Python,Spark,NumPy,Pandas,Charles</v>
      </c>
      <c r="K39">
        <f ca="1">IF(F39="本科",2021-T39-22,2021-T39-21)</f>
        <v>2</v>
      </c>
      <c r="T39">
        <f t="shared" ca="1" si="3"/>
        <v>1998</v>
      </c>
      <c r="U39">
        <f t="shared" ca="1" si="4"/>
        <v>2</v>
      </c>
      <c r="V39">
        <f t="shared" ca="1" si="5"/>
        <v>18</v>
      </c>
      <c r="W39" t="s">
        <v>199</v>
      </c>
      <c r="X39" t="s">
        <v>675</v>
      </c>
    </row>
    <row r="40" spans="1:28" x14ac:dyDescent="0.2">
      <c r="A40" t="s">
        <v>70</v>
      </c>
      <c r="B40" t="str" cm="1">
        <f t="array" aca="1" ref="B40" ca="1">INDIRECT("r"&amp;RANDBETWEEN(2,3))</f>
        <v>男</v>
      </c>
      <c r="C40" t="str" cm="1">
        <f t="array" aca="1" ref="C40" ca="1">INDIRECT("s"&amp;RANDBETWEEN(2,19))</f>
        <v>辽宁省</v>
      </c>
      <c r="D40" t="s">
        <v>161</v>
      </c>
      <c r="E40" t="str">
        <f t="shared" ca="1" si="0"/>
        <v>1994-7-12</v>
      </c>
      <c r="F40" t="str">
        <f t="shared" ca="1" si="1"/>
        <v>本科</v>
      </c>
      <c r="G40" t="str" cm="1">
        <f t="array" aca="1" ref="G40" ca="1">INDIRECT("w"&amp;RANDBETWEEN(2,1431))</f>
        <v>潍坊学院</v>
      </c>
      <c r="H40" t="str" cm="1">
        <f t="array" aca="1" ref="H40" ca="1">IF(F40="本科",INDIRECT("y"&amp;RANDBETWEEN(3,12)),INDIRECT("z"&amp;RANDBETWEEN(3,11)))</f>
        <v>新媒体技术</v>
      </c>
      <c r="I40" t="str">
        <f t="shared" ca="1" si="2"/>
        <v>新媒体运营</v>
      </c>
      <c r="J40" t="str" cm="1">
        <f t="array" aca="1" ref="J40" ca="1">_xlfn.IFS(I40=$O$3,INDIRECT("ac"&amp;RANDBETWEEN(2,7)),I40=$O$2,INDIRECT("ad"&amp;RANDBETWEEN(2,10)),I40=$O$4,INDIRECT("ab"&amp;RANDBETWEEN(2,35)),I40=$O$5,INDIRECT("ae"&amp;RANDBETWEEN(2,7)),I40=$O$6,INDIRECT("af"&amp;RANDBETWEEN(2,7)),I40=$O$7,INDIRECT("ab"&amp;RANDBETWEEN(2,35)))</f>
        <v>策划热点事件,专业脚本,时尚</v>
      </c>
      <c r="K40">
        <f ca="1">IF(F40="本科",2021-T40-22,2021-T40-21)</f>
        <v>5</v>
      </c>
      <c r="T40">
        <f t="shared" ca="1" si="3"/>
        <v>1994</v>
      </c>
      <c r="U40">
        <f t="shared" ca="1" si="4"/>
        <v>7</v>
      </c>
      <c r="V40">
        <f t="shared" ca="1" si="5"/>
        <v>12</v>
      </c>
      <c r="W40" t="s">
        <v>200</v>
      </c>
      <c r="X40" t="s">
        <v>675</v>
      </c>
    </row>
    <row r="41" spans="1:28" x14ac:dyDescent="0.2">
      <c r="A41" t="s">
        <v>71</v>
      </c>
      <c r="B41" t="str" cm="1">
        <f t="array" aca="1" ref="B41" ca="1">INDIRECT("r"&amp;RANDBETWEEN(2,3))</f>
        <v>女</v>
      </c>
      <c r="C41" t="str" cm="1">
        <f t="array" aca="1" ref="C41" ca="1">INDIRECT("s"&amp;RANDBETWEEN(2,19))</f>
        <v>湖北省</v>
      </c>
      <c r="D41" t="s">
        <v>161</v>
      </c>
      <c r="E41" t="str">
        <f t="shared" ca="1" si="0"/>
        <v>1996-8-3</v>
      </c>
      <c r="F41" t="str">
        <f t="shared" ca="1" si="1"/>
        <v>本科</v>
      </c>
      <c r="G41" t="str" cm="1">
        <f t="array" aca="1" ref="G41" ca="1">INDIRECT("w"&amp;RANDBETWEEN(2,1431))</f>
        <v>徐州工程学院</v>
      </c>
      <c r="H41" t="str" cm="1">
        <f t="array" aca="1" ref="H41" ca="1">IF(F41="本科",INDIRECT("y"&amp;RANDBETWEEN(3,12)),INDIRECT("z"&amp;RANDBETWEEN(3,11)))</f>
        <v>信息与计算科学</v>
      </c>
      <c r="I41" t="str">
        <f t="shared" ca="1" si="2"/>
        <v>数据分析</v>
      </c>
      <c r="J41" t="str" cm="1">
        <f t="array" aca="1" ref="J41" ca="1">_xlfn.IFS(I41=$O$3,INDIRECT("ac"&amp;RANDBETWEEN(2,7)),I41=$O$2,INDIRECT("ad"&amp;RANDBETWEEN(2,10)),I41=$O$4,INDIRECT("ab"&amp;RANDBETWEEN(2,35)),I41=$O$5,INDIRECT("ae"&amp;RANDBETWEEN(2,7)),I41=$O$6,INDIRECT("af"&amp;RANDBETWEEN(2,7)),I41=$O$7,INDIRECT("ab"&amp;RANDBETWEEN(2,35)))</f>
        <v>SQL,Power BI,Python</v>
      </c>
      <c r="K41">
        <f ca="1">IF(F41="本科",2021-T41-22,2021-T41-21)</f>
        <v>3</v>
      </c>
      <c r="T41">
        <f t="shared" ca="1" si="3"/>
        <v>1996</v>
      </c>
      <c r="U41">
        <f t="shared" ca="1" si="4"/>
        <v>8</v>
      </c>
      <c r="V41">
        <f t="shared" ca="1" si="5"/>
        <v>3</v>
      </c>
      <c r="W41" t="s">
        <v>201</v>
      </c>
      <c r="X41" t="s">
        <v>675</v>
      </c>
    </row>
    <row r="42" spans="1:28" x14ac:dyDescent="0.2">
      <c r="A42" t="s">
        <v>72</v>
      </c>
      <c r="B42" t="str" cm="1">
        <f t="array" aca="1" ref="B42" ca="1">INDIRECT("r"&amp;RANDBETWEEN(2,3))</f>
        <v>女</v>
      </c>
      <c r="C42" t="str" cm="1">
        <f t="array" aca="1" ref="C42" ca="1">INDIRECT("s"&amp;RANDBETWEEN(2,19))</f>
        <v>湖北省</v>
      </c>
      <c r="D42" t="s">
        <v>161</v>
      </c>
      <c r="E42" t="str">
        <f t="shared" ca="1" si="0"/>
        <v>1998-12-5</v>
      </c>
      <c r="F42" t="str">
        <f t="shared" ca="1" si="1"/>
        <v>本科</v>
      </c>
      <c r="G42" t="str" cm="1">
        <f t="array" aca="1" ref="G42" ca="1">INDIRECT("w"&amp;RANDBETWEEN(2,1431))</f>
        <v>吉林化工学院</v>
      </c>
      <c r="H42" t="str" cm="1">
        <f t="array" aca="1" ref="H42" ca="1">IF(F42="本科",INDIRECT("y"&amp;RANDBETWEEN(3,12)),INDIRECT("z"&amp;RANDBETWEEN(3,11)))</f>
        <v>数据科学与大数据技术</v>
      </c>
      <c r="I42" t="str">
        <f t="shared" ca="1" si="2"/>
        <v>数据分析</v>
      </c>
      <c r="J42" t="str" cm="1">
        <f t="array" aca="1" ref="J42" ca="1">_xlfn.IFS(I42=$O$3,INDIRECT("ac"&amp;RANDBETWEEN(2,7)),I42=$O$2,INDIRECT("ad"&amp;RANDBETWEEN(2,10)),I42=$O$4,INDIRECT("ab"&amp;RANDBETWEEN(2,35)),I42=$O$5,INDIRECT("ae"&amp;RANDBETWEEN(2,7)),I42=$O$6,INDIRECT("af"&amp;RANDBETWEEN(2,7)),I42=$O$7,INDIRECT("ab"&amp;RANDBETWEEN(2,35)))</f>
        <v>Excel,SPSS,SQL,Python</v>
      </c>
      <c r="K42">
        <f ca="1">IF(F42="本科",2021-T42-22,2021-T42-21)</f>
        <v>1</v>
      </c>
      <c r="T42">
        <f t="shared" ca="1" si="3"/>
        <v>1998</v>
      </c>
      <c r="U42">
        <f t="shared" ca="1" si="4"/>
        <v>12</v>
      </c>
      <c r="V42">
        <f t="shared" ca="1" si="5"/>
        <v>5</v>
      </c>
      <c r="W42" t="s">
        <v>202</v>
      </c>
      <c r="X42" t="s">
        <v>675</v>
      </c>
    </row>
    <row r="43" spans="1:28" x14ac:dyDescent="0.2">
      <c r="A43" t="s">
        <v>73</v>
      </c>
      <c r="B43" t="str" cm="1">
        <f t="array" aca="1" ref="B43" ca="1">INDIRECT("r"&amp;RANDBETWEEN(2,3))</f>
        <v>女</v>
      </c>
      <c r="C43" t="str" cm="1">
        <f t="array" aca="1" ref="C43" ca="1">INDIRECT("s"&amp;RANDBETWEEN(2,19))</f>
        <v>安徽省</v>
      </c>
      <c r="D43" t="s">
        <v>161</v>
      </c>
      <c r="E43" t="str">
        <f t="shared" ca="1" si="0"/>
        <v>1989-8-25</v>
      </c>
      <c r="F43" t="str">
        <f t="shared" ca="1" si="1"/>
        <v>本科</v>
      </c>
      <c r="G43" t="str" cm="1">
        <f t="array" aca="1" ref="G43" ca="1">INDIRECT("w"&amp;RANDBETWEEN(2,1431))</f>
        <v>扬州大学</v>
      </c>
      <c r="H43" t="str" cm="1">
        <f t="array" aca="1" ref="H43" ca="1">IF(F43="本科",INDIRECT("y"&amp;RANDBETWEEN(3,12)),INDIRECT("z"&amp;RANDBETWEEN(3,11)))</f>
        <v>统计学</v>
      </c>
      <c r="I43" t="str">
        <f t="shared" ca="1" si="2"/>
        <v>数据分析</v>
      </c>
      <c r="J43" t="str" cm="1">
        <f t="array" aca="1" ref="J43" ca="1">_xlfn.IFS(I43=$O$3,INDIRECT("ac"&amp;RANDBETWEEN(2,7)),I43=$O$2,INDIRECT("ad"&amp;RANDBETWEEN(2,10)),I43=$O$4,INDIRECT("ab"&amp;RANDBETWEEN(2,35)),I43=$O$5,INDIRECT("ae"&amp;RANDBETWEEN(2,7)),I43=$O$6,INDIRECT("af"&amp;RANDBETWEEN(2,7)),I43=$O$7,INDIRECT("ab"&amp;RANDBETWEEN(2,35)))</f>
        <v>Excel,Matlab,Python,Spark,Charles,NumPy,Hadoop,Pandas</v>
      </c>
      <c r="K43">
        <f ca="1">IF(F43="本科",2021-T43-22,2021-T43-21)</f>
        <v>10</v>
      </c>
      <c r="T43">
        <f t="shared" ca="1" si="3"/>
        <v>1989</v>
      </c>
      <c r="U43">
        <f t="shared" ca="1" si="4"/>
        <v>8</v>
      </c>
      <c r="V43">
        <f t="shared" ca="1" si="5"/>
        <v>25</v>
      </c>
      <c r="W43" t="s">
        <v>203</v>
      </c>
      <c r="X43" t="s">
        <v>675</v>
      </c>
    </row>
    <row r="44" spans="1:28" x14ac:dyDescent="0.2">
      <c r="A44" t="s">
        <v>74</v>
      </c>
      <c r="B44" t="str" cm="1">
        <f t="array" aca="1" ref="B44" ca="1">INDIRECT("r"&amp;RANDBETWEEN(2,3))</f>
        <v>女</v>
      </c>
      <c r="C44" t="str" cm="1">
        <f t="array" aca="1" ref="C44" ca="1">INDIRECT("s"&amp;RANDBETWEEN(2,19))</f>
        <v>山西省</v>
      </c>
      <c r="D44" t="s">
        <v>161</v>
      </c>
      <c r="E44" t="str">
        <f t="shared" ca="1" si="0"/>
        <v>1995-4-15</v>
      </c>
      <c r="F44" t="str">
        <f t="shared" ca="1" si="1"/>
        <v>本科</v>
      </c>
      <c r="G44" t="str" cm="1">
        <f t="array" aca="1" ref="G44" ca="1">INDIRECT("w"&amp;RANDBETWEEN(2,1431))</f>
        <v>南通大学</v>
      </c>
      <c r="H44" t="str" cm="1">
        <f t="array" aca="1" ref="H44" ca="1">IF(F44="本科",INDIRECT("y"&amp;RANDBETWEEN(3,12)),INDIRECT("z"&amp;RANDBETWEEN(3,11)))</f>
        <v>应用统计学</v>
      </c>
      <c r="I44" t="str">
        <f t="shared" ca="1" si="2"/>
        <v>数据分析</v>
      </c>
      <c r="J44" t="str" cm="1">
        <f t="array" aca="1" ref="J44" ca="1">_xlfn.IFS(I44=$O$3,INDIRECT("ac"&amp;RANDBETWEEN(2,7)),I44=$O$2,INDIRECT("ad"&amp;RANDBETWEEN(2,10)),I44=$O$4,INDIRECT("ab"&amp;RANDBETWEEN(2,35)),I44=$O$5,INDIRECT("ae"&amp;RANDBETWEEN(2,7)),I44=$O$6,INDIRECT("af"&amp;RANDBETWEEN(2,7)),I44=$O$7,INDIRECT("ab"&amp;RANDBETWEEN(2,35)))</f>
        <v>Azkaban,Hive,Python,Java,Scala</v>
      </c>
      <c r="K44">
        <f ca="1">IF(F44="本科",2021-T44-22,2021-T44-21)</f>
        <v>4</v>
      </c>
      <c r="T44">
        <f t="shared" ca="1" si="3"/>
        <v>1995</v>
      </c>
      <c r="U44">
        <f t="shared" ca="1" si="4"/>
        <v>4</v>
      </c>
      <c r="V44">
        <f t="shared" ca="1" si="5"/>
        <v>15</v>
      </c>
      <c r="W44" t="s">
        <v>204</v>
      </c>
      <c r="X44" t="s">
        <v>675</v>
      </c>
    </row>
    <row r="45" spans="1:28" x14ac:dyDescent="0.2">
      <c r="A45" t="s">
        <v>75</v>
      </c>
      <c r="B45" t="str" cm="1">
        <f t="array" aca="1" ref="B45" ca="1">INDIRECT("r"&amp;RANDBETWEEN(2,3))</f>
        <v>男</v>
      </c>
      <c r="C45" t="str" cm="1">
        <f t="array" aca="1" ref="C45" ca="1">INDIRECT("s"&amp;RANDBETWEEN(2,19))</f>
        <v>黑龙江省</v>
      </c>
      <c r="D45" t="s">
        <v>161</v>
      </c>
      <c r="E45" t="str">
        <f t="shared" ca="1" si="0"/>
        <v>1991-3-29</v>
      </c>
      <c r="F45" t="str">
        <f t="shared" ca="1" si="1"/>
        <v>本科</v>
      </c>
      <c r="G45" t="str" cm="1">
        <f t="array" aca="1" ref="G45" ca="1">INDIRECT("w"&amp;RANDBETWEEN(2,1431))</f>
        <v>攀枝花学院</v>
      </c>
      <c r="H45" t="str" cm="1">
        <f t="array" aca="1" ref="H45" ca="1">IF(F45="本科",INDIRECT("y"&amp;RANDBETWEEN(3,12)),INDIRECT("z"&amp;RANDBETWEEN(3,11)))</f>
        <v>数据科学与大数据技术</v>
      </c>
      <c r="I45" t="str">
        <f t="shared" ca="1" si="2"/>
        <v>数据分析</v>
      </c>
      <c r="J45" t="str" cm="1">
        <f t="array" aca="1" ref="J45" ca="1">_xlfn.IFS(I45=$O$3,INDIRECT("ac"&amp;RANDBETWEEN(2,7)),I45=$O$2,INDIRECT("ad"&amp;RANDBETWEEN(2,10)),I45=$O$4,INDIRECT("ab"&amp;RANDBETWEEN(2,35)),I45=$O$5,INDIRECT("ae"&amp;RANDBETWEEN(2,7)),I45=$O$6,INDIRECT("af"&amp;RANDBETWEEN(2,7)),I45=$O$7,INDIRECT("ab"&amp;RANDBETWEEN(2,35)))</f>
        <v>SPSS,SAS,Python</v>
      </c>
      <c r="K45">
        <f ca="1">IF(F45="本科",2021-T45-22,2021-T45-21)</f>
        <v>8</v>
      </c>
      <c r="T45">
        <f t="shared" ca="1" si="3"/>
        <v>1991</v>
      </c>
      <c r="U45">
        <f t="shared" ca="1" si="4"/>
        <v>3</v>
      </c>
      <c r="V45">
        <f t="shared" ca="1" si="5"/>
        <v>29</v>
      </c>
      <c r="W45" t="s">
        <v>204</v>
      </c>
      <c r="X45" t="s">
        <v>675</v>
      </c>
    </row>
    <row r="46" spans="1:28" x14ac:dyDescent="0.2">
      <c r="A46" t="s">
        <v>76</v>
      </c>
      <c r="B46" t="str" cm="1">
        <f t="array" aca="1" ref="B46" ca="1">INDIRECT("r"&amp;RANDBETWEEN(2,3))</f>
        <v>男</v>
      </c>
      <c r="C46" t="str" cm="1">
        <f t="array" aca="1" ref="C46" ca="1">INDIRECT("s"&amp;RANDBETWEEN(2,19))</f>
        <v>福建省</v>
      </c>
      <c r="D46" t="s">
        <v>161</v>
      </c>
      <c r="E46" t="str">
        <f t="shared" ca="1" si="0"/>
        <v>1988-12-3</v>
      </c>
      <c r="F46" t="str">
        <f t="shared" ca="1" si="1"/>
        <v>高职专科</v>
      </c>
      <c r="G46" t="str" cm="1">
        <f t="array" aca="1" ref="G46" ca="1">INDIRECT("w"&amp;RANDBETWEEN(2,1431))</f>
        <v>包头职业技术</v>
      </c>
      <c r="H46" t="str" cm="1">
        <f t="array" aca="1" ref="H46" ca="1">IF(F46="本科",INDIRECT("y"&amp;RANDBETWEEN(3,12)),INDIRECT("z"&amp;RANDBETWEEN(3,11)))</f>
        <v>大数据技术</v>
      </c>
      <c r="I46" t="str">
        <f t="shared" ca="1" si="2"/>
        <v>数据分析</v>
      </c>
      <c r="J46" t="str" cm="1">
        <f t="array" aca="1" ref="J46" ca="1">_xlfn.IFS(I46=$O$3,INDIRECT("ac"&amp;RANDBETWEEN(2,7)),I46=$O$2,INDIRECT("ad"&amp;RANDBETWEEN(2,10)),I46=$O$4,INDIRECT("ab"&amp;RANDBETWEEN(2,35)),I46=$O$5,INDIRECT("ae"&amp;RANDBETWEEN(2,7)),I46=$O$6,INDIRECT("af"&amp;RANDBETWEEN(2,7)),I46=$O$7,INDIRECT("ab"&amp;RANDBETWEEN(2,35)))</f>
        <v>SQL,相关分析,Python,Excel</v>
      </c>
      <c r="K46">
        <f ca="1">IF(F46="本科",2021-T46-22,2021-T46-21)</f>
        <v>12</v>
      </c>
      <c r="T46">
        <f t="shared" ca="1" si="3"/>
        <v>1988</v>
      </c>
      <c r="U46">
        <f t="shared" ca="1" si="4"/>
        <v>12</v>
      </c>
      <c r="V46">
        <f t="shared" ca="1" si="5"/>
        <v>3</v>
      </c>
      <c r="W46" t="s">
        <v>205</v>
      </c>
      <c r="X46" t="s">
        <v>675</v>
      </c>
    </row>
    <row r="47" spans="1:28" x14ac:dyDescent="0.2">
      <c r="A47" t="s">
        <v>77</v>
      </c>
      <c r="B47" t="str" cm="1">
        <f t="array" aca="1" ref="B47" ca="1">INDIRECT("r"&amp;RANDBETWEEN(2,3))</f>
        <v>男</v>
      </c>
      <c r="C47" t="str" cm="1">
        <f t="array" aca="1" ref="C47" ca="1">INDIRECT("s"&amp;RANDBETWEEN(2,19))</f>
        <v>辽宁省</v>
      </c>
      <c r="D47" t="s">
        <v>161</v>
      </c>
      <c r="E47" t="str">
        <f t="shared" ca="1" si="0"/>
        <v>1993-10-16</v>
      </c>
      <c r="F47" t="str">
        <f t="shared" ca="1" si="1"/>
        <v>本科</v>
      </c>
      <c r="G47" t="str" cm="1">
        <f t="array" aca="1" ref="G47" ca="1">INDIRECT("w"&amp;RANDBETWEEN(2,1431))</f>
        <v>上海建桥学院</v>
      </c>
      <c r="H47" t="str" cm="1">
        <f t="array" aca="1" ref="H47" ca="1">IF(F47="本科",INDIRECT("y"&amp;RANDBETWEEN(3,12)),INDIRECT("z"&amp;RANDBETWEEN(3,11)))</f>
        <v>应用统计学</v>
      </c>
      <c r="I47" t="str">
        <f t="shared" ca="1" si="2"/>
        <v>数据分析</v>
      </c>
      <c r="J47" t="str" cm="1">
        <f t="array" aca="1" ref="J47" ca="1">_xlfn.IFS(I47=$O$3,INDIRECT("ac"&amp;RANDBETWEEN(2,7)),I47=$O$2,INDIRECT("ad"&amp;RANDBETWEEN(2,10)),I47=$O$4,INDIRECT("ab"&amp;RANDBETWEEN(2,35)),I47=$O$5,INDIRECT("ae"&amp;RANDBETWEEN(2,7)),I47=$O$6,INDIRECT("af"&amp;RANDBETWEEN(2,7)),I47=$O$7,INDIRECT("ab"&amp;RANDBETWEEN(2,35)))</f>
        <v>Excel,Matlab,Python,Spark,Charles,NumPy,Hadoop,Pandas</v>
      </c>
      <c r="K47">
        <f ca="1">IF(F47="本科",2021-T47-22,2021-T47-21)</f>
        <v>6</v>
      </c>
      <c r="T47">
        <f t="shared" ca="1" si="3"/>
        <v>1993</v>
      </c>
      <c r="U47">
        <f t="shared" ca="1" si="4"/>
        <v>10</v>
      </c>
      <c r="V47">
        <f t="shared" ca="1" si="5"/>
        <v>16</v>
      </c>
      <c r="W47" t="s">
        <v>206</v>
      </c>
      <c r="X47" t="s">
        <v>675</v>
      </c>
    </row>
    <row r="48" spans="1:28" x14ac:dyDescent="0.2">
      <c r="A48" t="s">
        <v>78</v>
      </c>
      <c r="B48" t="str" cm="1">
        <f t="array" aca="1" ref="B48" ca="1">INDIRECT("r"&amp;RANDBETWEEN(2,3))</f>
        <v>女</v>
      </c>
      <c r="C48" t="str" cm="1">
        <f t="array" aca="1" ref="C48" ca="1">INDIRECT("s"&amp;RANDBETWEEN(2,19))</f>
        <v>湖南省</v>
      </c>
      <c r="D48" t="s">
        <v>161</v>
      </c>
      <c r="E48" t="str">
        <f t="shared" ca="1" si="0"/>
        <v>1989-4-7</v>
      </c>
      <c r="F48" t="str">
        <f t="shared" ca="1" si="1"/>
        <v>本科</v>
      </c>
      <c r="G48" t="str" cm="1">
        <f t="array" aca="1" ref="G48" ca="1">INDIRECT("w"&amp;RANDBETWEEN(2,1431))</f>
        <v>惠州学院</v>
      </c>
      <c r="H48" t="str" cm="1">
        <f t="array" aca="1" ref="H48" ca="1">IF(F48="本科",INDIRECT("y"&amp;RANDBETWEEN(3,12)),INDIRECT("z"&amp;RANDBETWEEN(3,11)))</f>
        <v>数据计算及应用</v>
      </c>
      <c r="I48" t="str">
        <f t="shared" ca="1" si="2"/>
        <v>数据分析</v>
      </c>
      <c r="J48" t="str" cm="1">
        <f t="array" aca="1" ref="J48" ca="1">_xlfn.IFS(I48=$O$3,INDIRECT("ac"&amp;RANDBETWEEN(2,7)),I48=$O$2,INDIRECT("ad"&amp;RANDBETWEEN(2,10)),I48=$O$4,INDIRECT("ab"&amp;RANDBETWEEN(2,35)),I48=$O$5,INDIRECT("ae"&amp;RANDBETWEEN(2,7)),I48=$O$6,INDIRECT("af"&amp;RANDBETWEEN(2,7)),I48=$O$7,INDIRECT("ab"&amp;RANDBETWEEN(2,35)))</f>
        <v>分析</v>
      </c>
      <c r="K48">
        <f ca="1">IF(F48="本科",2021-T48-22,2021-T48-21)</f>
        <v>10</v>
      </c>
      <c r="T48">
        <f t="shared" ca="1" si="3"/>
        <v>1989</v>
      </c>
      <c r="U48">
        <f t="shared" ca="1" si="4"/>
        <v>4</v>
      </c>
      <c r="V48">
        <f t="shared" ca="1" si="5"/>
        <v>7</v>
      </c>
      <c r="W48" t="s">
        <v>207</v>
      </c>
      <c r="X48" t="s">
        <v>675</v>
      </c>
    </row>
    <row r="49" spans="1:24" x14ac:dyDescent="0.2">
      <c r="A49" t="s">
        <v>79</v>
      </c>
      <c r="B49" t="str" cm="1">
        <f t="array" aca="1" ref="B49" ca="1">INDIRECT("r"&amp;RANDBETWEEN(2,3))</f>
        <v>男</v>
      </c>
      <c r="C49" t="str" cm="1">
        <f t="array" aca="1" ref="C49" ca="1">INDIRECT("s"&amp;RANDBETWEEN(2,19))</f>
        <v>广东省</v>
      </c>
      <c r="D49" t="s">
        <v>161</v>
      </c>
      <c r="E49" t="str">
        <f t="shared" ca="1" si="0"/>
        <v>1988-3-17</v>
      </c>
      <c r="F49" t="str">
        <f t="shared" ca="1" si="1"/>
        <v>高职专科</v>
      </c>
      <c r="G49" t="str" cm="1">
        <f t="array" aca="1" ref="G49" ca="1">INDIRECT("w"&amp;RANDBETWEEN(2,1431))</f>
        <v>哈尔滨电力职</v>
      </c>
      <c r="H49" t="str" cm="1">
        <f t="array" aca="1" ref="H49" ca="1">IF(F49="本科",INDIRECT("y"&amp;RANDBETWEEN(3,12)),INDIRECT("z"&amp;RANDBETWEEN(3,11)))</f>
        <v>软件技术</v>
      </c>
      <c r="I49" t="str">
        <f t="shared" ca="1" si="2"/>
        <v>软件开发</v>
      </c>
      <c r="J49" t="str" cm="1">
        <f t="array" aca="1" ref="J49" ca="1">_xlfn.IFS(I49=$O$3,INDIRECT("ac"&amp;RANDBETWEEN(2,7)),I49=$O$2,INDIRECT("ad"&amp;RANDBETWEEN(2,10)),I49=$O$4,INDIRECT("ab"&amp;RANDBETWEEN(2,35)),I49=$O$5,INDIRECT("ae"&amp;RANDBETWEEN(2,7)),I49=$O$6,INDIRECT("af"&amp;RANDBETWEEN(2,7)),I49=$O$7,INDIRECT("ab"&amp;RANDBETWEEN(2,35)))</f>
        <v>Hibernate,Dubbo</v>
      </c>
      <c r="K49">
        <f ca="1">IF(F49="本科",2021-T49-22,2021-T49-21)</f>
        <v>12</v>
      </c>
      <c r="T49">
        <f t="shared" ca="1" si="3"/>
        <v>1988</v>
      </c>
      <c r="U49">
        <f t="shared" ca="1" si="4"/>
        <v>3</v>
      </c>
      <c r="V49">
        <f t="shared" ca="1" si="5"/>
        <v>17</v>
      </c>
      <c r="W49" t="s">
        <v>208</v>
      </c>
      <c r="X49" t="s">
        <v>675</v>
      </c>
    </row>
    <row r="50" spans="1:24" x14ac:dyDescent="0.2">
      <c r="A50" t="s">
        <v>80</v>
      </c>
      <c r="B50" t="str" cm="1">
        <f t="array" aca="1" ref="B50" ca="1">INDIRECT("r"&amp;RANDBETWEEN(2,3))</f>
        <v>女</v>
      </c>
      <c r="C50" t="str" cm="1">
        <f t="array" aca="1" ref="C50" ca="1">INDIRECT("s"&amp;RANDBETWEEN(2,19))</f>
        <v>浙江省</v>
      </c>
      <c r="D50" t="s">
        <v>161</v>
      </c>
      <c r="E50" t="str">
        <f t="shared" ca="1" si="0"/>
        <v>1994-6-14</v>
      </c>
      <c r="F50" t="str">
        <f t="shared" ca="1" si="1"/>
        <v>本科</v>
      </c>
      <c r="G50" t="str" cm="1">
        <f t="array" aca="1" ref="G50" ca="1">INDIRECT("w"&amp;RANDBETWEEN(2,1431))</f>
        <v>北京航空航天</v>
      </c>
      <c r="H50" t="str" cm="1">
        <f t="array" aca="1" ref="H50" ca="1">IF(F50="本科",INDIRECT("y"&amp;RANDBETWEEN(3,12)),INDIRECT("z"&amp;RANDBETWEEN(3,11)))</f>
        <v>数理基础科学</v>
      </c>
      <c r="I50" t="str">
        <f t="shared" ca="1" si="2"/>
        <v>数据分析</v>
      </c>
      <c r="J50" t="str" cm="1">
        <f t="array" aca="1" ref="J50" ca="1">_xlfn.IFS(I50=$O$3,INDIRECT("ac"&amp;RANDBETWEEN(2,7)),I50=$O$2,INDIRECT("ad"&amp;RANDBETWEEN(2,10)),I50=$O$4,INDIRECT("ab"&amp;RANDBETWEEN(2,35)),I50=$O$5,INDIRECT("ae"&amp;RANDBETWEEN(2,7)),I50=$O$6,INDIRECT("af"&amp;RANDBETWEEN(2,7)),I50=$O$7,INDIRECT("ab"&amp;RANDBETWEEN(2,35)))</f>
        <v>Python,SQL,数据挖掘,数据分析</v>
      </c>
      <c r="K50">
        <f ca="1">IF(F50="本科",2021-T50-22,2021-T50-21)</f>
        <v>5</v>
      </c>
      <c r="T50">
        <f t="shared" ca="1" si="3"/>
        <v>1994</v>
      </c>
      <c r="U50">
        <f t="shared" ca="1" si="4"/>
        <v>6</v>
      </c>
      <c r="V50">
        <f t="shared" ca="1" si="5"/>
        <v>14</v>
      </c>
      <c r="W50" t="s">
        <v>209</v>
      </c>
      <c r="X50" t="s">
        <v>675</v>
      </c>
    </row>
    <row r="51" spans="1:24" x14ac:dyDescent="0.2">
      <c r="A51" t="s">
        <v>81</v>
      </c>
      <c r="B51" t="str" cm="1">
        <f t="array" aca="1" ref="B51" ca="1">INDIRECT("r"&amp;RANDBETWEEN(2,3))</f>
        <v>男</v>
      </c>
      <c r="C51" t="str" cm="1">
        <f t="array" aca="1" ref="C51" ca="1">INDIRECT("s"&amp;RANDBETWEEN(2,19))</f>
        <v>吉林省</v>
      </c>
      <c r="D51" t="s">
        <v>161</v>
      </c>
      <c r="E51" t="str">
        <f t="shared" ca="1" si="0"/>
        <v>1993-6-27</v>
      </c>
      <c r="F51" t="str">
        <f t="shared" ca="1" si="1"/>
        <v>本科</v>
      </c>
      <c r="G51" t="str" cm="1">
        <f t="array" aca="1" ref="G51" ca="1">INDIRECT("w"&amp;RANDBETWEEN(2,1431))</f>
        <v>上海海关学院</v>
      </c>
      <c r="H51" t="str" cm="1">
        <f t="array" aca="1" ref="H51" ca="1">IF(F51="本科",INDIRECT("y"&amp;RANDBETWEEN(3,12)),INDIRECT("z"&amp;RANDBETWEEN(3,11)))</f>
        <v>软件工程</v>
      </c>
      <c r="I51" t="str">
        <f t="shared" ca="1" si="2"/>
        <v>软件开发</v>
      </c>
      <c r="J51" t="str" cm="1">
        <f t="array" aca="1" ref="J51" ca="1">_xlfn.IFS(I51=$O$3,INDIRECT("ac"&amp;RANDBETWEEN(2,7)),I51=$O$2,INDIRECT("ad"&amp;RANDBETWEEN(2,10)),I51=$O$4,INDIRECT("ab"&amp;RANDBETWEEN(2,35)),I51=$O$5,INDIRECT("ae"&amp;RANDBETWEEN(2,7)),I51=$O$6,INDIRECT("af"&amp;RANDBETWEEN(2,7)),I51=$O$7,INDIRECT("ab"&amp;RANDBETWEEN(2,35)))</f>
        <v>HTML,CSS</v>
      </c>
      <c r="K51">
        <f ca="1">IF(F51="本科",2021-T51-22,2021-T51-21)</f>
        <v>6</v>
      </c>
      <c r="T51">
        <f t="shared" ca="1" si="3"/>
        <v>1993</v>
      </c>
      <c r="U51">
        <f t="shared" ca="1" si="4"/>
        <v>6</v>
      </c>
      <c r="V51">
        <f t="shared" ca="1" si="5"/>
        <v>27</v>
      </c>
      <c r="W51" t="s">
        <v>210</v>
      </c>
      <c r="X51" t="s">
        <v>675</v>
      </c>
    </row>
    <row r="52" spans="1:24" x14ac:dyDescent="0.2">
      <c r="A52" t="s">
        <v>82</v>
      </c>
      <c r="B52" t="str" cm="1">
        <f t="array" aca="1" ref="B52" ca="1">INDIRECT("r"&amp;RANDBETWEEN(2,3))</f>
        <v>女</v>
      </c>
      <c r="C52" t="str" cm="1">
        <f t="array" aca="1" ref="C52" ca="1">INDIRECT("s"&amp;RANDBETWEEN(2,19))</f>
        <v>江苏省</v>
      </c>
      <c r="D52" t="s">
        <v>161</v>
      </c>
      <c r="E52" t="str">
        <f t="shared" ca="1" si="0"/>
        <v>1998-8-26</v>
      </c>
      <c r="F52" t="str">
        <f t="shared" ca="1" si="1"/>
        <v>本科</v>
      </c>
      <c r="G52" t="str" cm="1">
        <f t="array" aca="1" ref="G52" ca="1">INDIRECT("w"&amp;RANDBETWEEN(2,1431))</f>
        <v>河南工程学院</v>
      </c>
      <c r="H52" t="str" cm="1">
        <f t="array" aca="1" ref="H52" ca="1">IF(F52="本科",INDIRECT("y"&amp;RANDBETWEEN(3,12)),INDIRECT("z"&amp;RANDBETWEEN(3,11)))</f>
        <v>应用统计学</v>
      </c>
      <c r="I52" t="str">
        <f t="shared" ca="1" si="2"/>
        <v>数据分析</v>
      </c>
      <c r="J52" t="str" cm="1">
        <f t="array" aca="1" ref="J52" ca="1">_xlfn.IFS(I52=$O$3,INDIRECT("ac"&amp;RANDBETWEEN(2,7)),I52=$O$2,INDIRECT("ad"&amp;RANDBETWEEN(2,10)),I52=$O$4,INDIRECT("ab"&amp;RANDBETWEEN(2,35)),I52=$O$5,INDIRECT("ae"&amp;RANDBETWEEN(2,7)),I52=$O$6,INDIRECT("af"&amp;RANDBETWEEN(2,7)),I52=$O$7,INDIRECT("ab"&amp;RANDBETWEEN(2,35)))</f>
        <v>SQL,Scala,Spark,Kafka,HADOOP,Java,Linux,架构</v>
      </c>
      <c r="K52">
        <f ca="1">IF(F52="本科",2021-T52-22,2021-T52-21)</f>
        <v>1</v>
      </c>
      <c r="T52">
        <f t="shared" ca="1" si="3"/>
        <v>1998</v>
      </c>
      <c r="U52">
        <f t="shared" ca="1" si="4"/>
        <v>8</v>
      </c>
      <c r="V52">
        <f t="shared" ca="1" si="5"/>
        <v>26</v>
      </c>
      <c r="W52" t="s">
        <v>211</v>
      </c>
      <c r="X52" t="s">
        <v>675</v>
      </c>
    </row>
    <row r="53" spans="1:24" x14ac:dyDescent="0.2">
      <c r="A53" t="s">
        <v>83</v>
      </c>
      <c r="B53" t="str" cm="1">
        <f t="array" aca="1" ref="B53" ca="1">INDIRECT("r"&amp;RANDBETWEEN(2,3))</f>
        <v>男</v>
      </c>
      <c r="C53" t="str" cm="1">
        <f t="array" aca="1" ref="C53" ca="1">INDIRECT("s"&amp;RANDBETWEEN(2,19))</f>
        <v>辽宁省</v>
      </c>
      <c r="D53" t="s">
        <v>161</v>
      </c>
      <c r="E53" t="str">
        <f t="shared" ca="1" si="0"/>
        <v>1996-2-13</v>
      </c>
      <c r="F53" t="str">
        <f t="shared" ca="1" si="1"/>
        <v>高职专科</v>
      </c>
      <c r="G53" t="str" cm="1">
        <f t="array" aca="1" ref="G53" ca="1">INDIRECT("w"&amp;RANDBETWEEN(2,1431))</f>
        <v>秦皇岛职业技</v>
      </c>
      <c r="H53" t="str" cm="1">
        <f t="array" aca="1" ref="H53" ca="1">IF(F53="本科",INDIRECT("y"&amp;RANDBETWEEN(3,12)),INDIRECT("z"&amp;RANDBETWEEN(3,11)))</f>
        <v>统计与大数据分析</v>
      </c>
      <c r="I53" t="str">
        <f t="shared" ca="1" si="2"/>
        <v>数据分析</v>
      </c>
      <c r="J53" t="str" cm="1">
        <f t="array" aca="1" ref="J53" ca="1">_xlfn.IFS(I53=$O$3,INDIRECT("ac"&amp;RANDBETWEEN(2,7)),I53=$O$2,INDIRECT("ad"&amp;RANDBETWEEN(2,10)),I53=$O$4,INDIRECT("ab"&amp;RANDBETWEEN(2,35)),I53=$O$5,INDIRECT("ae"&amp;RANDBETWEEN(2,7)),I53=$O$6,INDIRECT("af"&amp;RANDBETWEEN(2,7)),I53=$O$7,INDIRECT("ab"&amp;RANDBETWEEN(2,35)))</f>
        <v>Spark,方差分析,INFOSYS,回归分析,参数检验,Flume,SPSS,Python</v>
      </c>
      <c r="K53">
        <f ca="1">IF(F53="本科",2021-T53-22,2021-T53-21)</f>
        <v>4</v>
      </c>
      <c r="T53">
        <f t="shared" ca="1" si="3"/>
        <v>1996</v>
      </c>
      <c r="U53">
        <f t="shared" ca="1" si="4"/>
        <v>2</v>
      </c>
      <c r="V53">
        <f t="shared" ca="1" si="5"/>
        <v>13</v>
      </c>
      <c r="W53" t="s">
        <v>212</v>
      </c>
      <c r="X53" t="s">
        <v>675</v>
      </c>
    </row>
    <row r="54" spans="1:24" x14ac:dyDescent="0.2">
      <c r="A54" t="s">
        <v>84</v>
      </c>
      <c r="B54" t="str" cm="1">
        <f t="array" aca="1" ref="B54" ca="1">INDIRECT("r"&amp;RANDBETWEEN(2,3))</f>
        <v>女</v>
      </c>
      <c r="C54" t="str" cm="1">
        <f t="array" aca="1" ref="C54" ca="1">INDIRECT("s"&amp;RANDBETWEEN(2,19))</f>
        <v>黑龙江省</v>
      </c>
      <c r="D54" t="s">
        <v>161</v>
      </c>
      <c r="E54" t="str">
        <f t="shared" ca="1" si="0"/>
        <v>1993-4-24</v>
      </c>
      <c r="F54" t="str">
        <f t="shared" ca="1" si="1"/>
        <v>本科</v>
      </c>
      <c r="G54" t="str" cm="1">
        <f t="array" aca="1" ref="G54" ca="1">INDIRECT("w"&amp;RANDBETWEEN(2,1431))</f>
        <v>西安工程大学</v>
      </c>
      <c r="H54" t="str" cm="1">
        <f t="array" aca="1" ref="H54" ca="1">IF(F54="本科",INDIRECT("y"&amp;RANDBETWEEN(3,12)),INDIRECT("z"&amp;RANDBETWEEN(3,11)))</f>
        <v>统计学</v>
      </c>
      <c r="I54" t="str">
        <f t="shared" ca="1" si="2"/>
        <v>数据分析</v>
      </c>
      <c r="J54" t="str" cm="1">
        <f t="array" aca="1" ref="J54" ca="1">_xlfn.IFS(I54=$O$3,INDIRECT("ac"&amp;RANDBETWEEN(2,7)),I54=$O$2,INDIRECT("ad"&amp;RANDBETWEEN(2,10)),I54=$O$4,INDIRECT("ab"&amp;RANDBETWEEN(2,35)),I54=$O$5,INDIRECT("ae"&amp;RANDBETWEEN(2,7)),I54=$O$6,INDIRECT("af"&amp;RANDBETWEEN(2,7)),I54=$O$7,INDIRECT("ab"&amp;RANDBETWEEN(2,35)))</f>
        <v>项目型产品</v>
      </c>
      <c r="K54">
        <f ca="1">IF(F54="本科",2021-T54-22,2021-T54-21)</f>
        <v>6</v>
      </c>
      <c r="T54">
        <f t="shared" ca="1" si="3"/>
        <v>1993</v>
      </c>
      <c r="U54">
        <f t="shared" ca="1" si="4"/>
        <v>4</v>
      </c>
      <c r="V54">
        <f t="shared" ca="1" si="5"/>
        <v>24</v>
      </c>
      <c r="W54" t="s">
        <v>213</v>
      </c>
      <c r="X54" t="s">
        <v>675</v>
      </c>
    </row>
    <row r="55" spans="1:24" x14ac:dyDescent="0.2">
      <c r="A55" t="s">
        <v>85</v>
      </c>
      <c r="B55" t="str" cm="1">
        <f t="array" aca="1" ref="B55" ca="1">INDIRECT("r"&amp;RANDBETWEEN(2,3))</f>
        <v>女</v>
      </c>
      <c r="C55" t="str" cm="1">
        <f t="array" aca="1" ref="C55" ca="1">INDIRECT("s"&amp;RANDBETWEEN(2,19))</f>
        <v>云南省</v>
      </c>
      <c r="D55" t="s">
        <v>161</v>
      </c>
      <c r="E55" t="str">
        <f t="shared" ca="1" si="0"/>
        <v>1992-5-10</v>
      </c>
      <c r="F55" t="str">
        <f t="shared" ca="1" si="1"/>
        <v>本科</v>
      </c>
      <c r="G55" t="str" cm="1">
        <f t="array" aca="1" ref="G55" ca="1">INDIRECT("w"&amp;RANDBETWEEN(2,1431))</f>
        <v>内蒙古工业大</v>
      </c>
      <c r="H55" t="str" cm="1">
        <f t="array" aca="1" ref="H55" ca="1">IF(F55="本科",INDIRECT("y"&amp;RANDBETWEEN(3,12)),INDIRECT("z"&amp;RANDBETWEEN(3,11)))</f>
        <v>信息与计算科学</v>
      </c>
      <c r="I55" t="str">
        <f t="shared" ca="1" si="2"/>
        <v>数据分析</v>
      </c>
      <c r="J55" t="str" cm="1">
        <f t="array" aca="1" ref="J55" ca="1">_xlfn.IFS(I55=$O$3,INDIRECT("ac"&amp;RANDBETWEEN(2,7)),I55=$O$2,INDIRECT("ad"&amp;RANDBETWEEN(2,10)),I55=$O$4,INDIRECT("ab"&amp;RANDBETWEEN(2,35)),I55=$O$5,INDIRECT("ae"&amp;RANDBETWEEN(2,7)),I55=$O$6,INDIRECT("af"&amp;RANDBETWEEN(2,7)),I55=$O$7,INDIRECT("ab"&amp;RANDBETWEEN(2,35)))</f>
        <v>Excel,Matlab,Hadoop,Python,Spark,NumPy,Pandas,Charles</v>
      </c>
      <c r="K55">
        <f ca="1">IF(F55="本科",2021-T55-22,2021-T55-21)</f>
        <v>7</v>
      </c>
      <c r="T55">
        <f t="shared" ca="1" si="3"/>
        <v>1992</v>
      </c>
      <c r="U55">
        <f t="shared" ca="1" si="4"/>
        <v>5</v>
      </c>
      <c r="V55">
        <f t="shared" ca="1" si="5"/>
        <v>10</v>
      </c>
      <c r="W55" t="s">
        <v>214</v>
      </c>
      <c r="X55" t="s">
        <v>675</v>
      </c>
    </row>
    <row r="56" spans="1:24" x14ac:dyDescent="0.2">
      <c r="A56" t="s">
        <v>86</v>
      </c>
      <c r="B56" t="str" cm="1">
        <f t="array" aca="1" ref="B56" ca="1">INDIRECT("r"&amp;RANDBETWEEN(2,3))</f>
        <v>女</v>
      </c>
      <c r="C56" t="str" cm="1">
        <f t="array" aca="1" ref="C56" ca="1">INDIRECT("s"&amp;RANDBETWEEN(2,19))</f>
        <v>山东省</v>
      </c>
      <c r="D56" t="s">
        <v>161</v>
      </c>
      <c r="E56" t="str">
        <f t="shared" ca="1" si="0"/>
        <v>1997-9-22</v>
      </c>
      <c r="F56" t="str">
        <f t="shared" ca="1" si="1"/>
        <v>高职专科</v>
      </c>
      <c r="G56" t="str" cm="1">
        <f t="array" aca="1" ref="G56" ca="1">INDIRECT("w"&amp;RANDBETWEEN(2,1431))</f>
        <v>河北建材职业</v>
      </c>
      <c r="H56" t="str" cm="1">
        <f t="array" aca="1" ref="H56" ca="1">IF(F56="本科",INDIRECT("y"&amp;RANDBETWEEN(3,12)),INDIRECT("z"&amp;RANDBETWEEN(3,11)))</f>
        <v>计算机网络技术</v>
      </c>
      <c r="I56" t="str">
        <f t="shared" ca="1" si="2"/>
        <v>前端</v>
      </c>
      <c r="J56" t="str" cm="1">
        <f t="array" aca="1" ref="J56" ca="1">_xlfn.IFS(I56=$O$3,INDIRECT("ac"&amp;RANDBETWEEN(2,7)),I56=$O$2,INDIRECT("ad"&amp;RANDBETWEEN(2,10)),I56=$O$4,INDIRECT("ab"&amp;RANDBETWEEN(2,35)),I56=$O$5,INDIRECT("ae"&amp;RANDBETWEEN(2,7)),I56=$O$6,INDIRECT("af"&amp;RANDBETWEEN(2,7)),I56=$O$7,INDIRECT("ab"&amp;RANDBETWEEN(2,35)))</f>
        <v>JavaScript,Web端,前端开发</v>
      </c>
      <c r="K56">
        <f ca="1">IF(F56="本科",2021-T56-22,2021-T56-21)</f>
        <v>3</v>
      </c>
      <c r="T56">
        <f t="shared" ca="1" si="3"/>
        <v>1997</v>
      </c>
      <c r="U56">
        <f t="shared" ca="1" si="4"/>
        <v>9</v>
      </c>
      <c r="V56">
        <f t="shared" ca="1" si="5"/>
        <v>22</v>
      </c>
      <c r="W56" t="s">
        <v>215</v>
      </c>
      <c r="X56" t="s">
        <v>675</v>
      </c>
    </row>
    <row r="57" spans="1:24" x14ac:dyDescent="0.2">
      <c r="A57" t="s">
        <v>87</v>
      </c>
      <c r="B57" t="str" cm="1">
        <f t="array" aca="1" ref="B57" ca="1">INDIRECT("r"&amp;RANDBETWEEN(2,3))</f>
        <v>女</v>
      </c>
      <c r="C57" t="str" cm="1">
        <f t="array" aca="1" ref="C57" ca="1">INDIRECT("s"&amp;RANDBETWEEN(2,19))</f>
        <v>江苏省</v>
      </c>
      <c r="D57" t="s">
        <v>161</v>
      </c>
      <c r="E57" t="str">
        <f t="shared" ca="1" si="0"/>
        <v>1994-9-2</v>
      </c>
      <c r="F57" t="str">
        <f t="shared" ca="1" si="1"/>
        <v>本科</v>
      </c>
      <c r="G57" t="str" cm="1">
        <f t="array" aca="1" ref="G57" ca="1">INDIRECT("w"&amp;RANDBETWEEN(2,1431))</f>
        <v>福州大学</v>
      </c>
      <c r="H57" t="str" cm="1">
        <f t="array" aca="1" ref="H57" ca="1">IF(F57="本科",INDIRECT("y"&amp;RANDBETWEEN(3,12)),INDIRECT("z"&amp;RANDBETWEEN(3,11)))</f>
        <v>数据计算及应用</v>
      </c>
      <c r="I57" t="str">
        <f t="shared" ca="1" si="2"/>
        <v>数据分析</v>
      </c>
      <c r="J57" t="str" cm="1">
        <f t="array" aca="1" ref="J57" ca="1">_xlfn.IFS(I57=$O$3,INDIRECT("ac"&amp;RANDBETWEEN(2,7)),I57=$O$2,INDIRECT("ad"&amp;RANDBETWEEN(2,10)),I57=$O$4,INDIRECT("ab"&amp;RANDBETWEEN(2,35)),I57=$O$5,INDIRECT("ae"&amp;RANDBETWEEN(2,7)),I57=$O$6,INDIRECT("af"&amp;RANDBETWEEN(2,7)),I57=$O$7,INDIRECT("ab"&amp;RANDBETWEEN(2,35)))</f>
        <v>SQL,Python,Excel</v>
      </c>
      <c r="K57">
        <f ca="1">IF(F57="本科",2021-T57-22,2021-T57-21)</f>
        <v>5</v>
      </c>
      <c r="T57">
        <f t="shared" ca="1" si="3"/>
        <v>1994</v>
      </c>
      <c r="U57">
        <f t="shared" ca="1" si="4"/>
        <v>9</v>
      </c>
      <c r="V57">
        <f t="shared" ca="1" si="5"/>
        <v>2</v>
      </c>
      <c r="W57" t="s">
        <v>216</v>
      </c>
      <c r="X57" t="s">
        <v>675</v>
      </c>
    </row>
    <row r="58" spans="1:24" x14ac:dyDescent="0.2">
      <c r="A58" t="s">
        <v>88</v>
      </c>
      <c r="B58" t="str" cm="1">
        <f t="array" aca="1" ref="B58" ca="1">INDIRECT("r"&amp;RANDBETWEEN(2,3))</f>
        <v>女</v>
      </c>
      <c r="C58" t="str" cm="1">
        <f t="array" aca="1" ref="C58" ca="1">INDIRECT("s"&amp;RANDBETWEEN(2,19))</f>
        <v>安徽省</v>
      </c>
      <c r="D58" t="s">
        <v>161</v>
      </c>
      <c r="E58" t="str">
        <f t="shared" ca="1" si="0"/>
        <v>1998-10-27</v>
      </c>
      <c r="F58" t="str">
        <f t="shared" ca="1" si="1"/>
        <v>本科</v>
      </c>
      <c r="G58" t="str" cm="1">
        <f t="array" aca="1" ref="G58" ca="1">INDIRECT("w"&amp;RANDBETWEEN(2,1431))</f>
        <v>聊城大学</v>
      </c>
      <c r="H58" t="str" cm="1">
        <f t="array" aca="1" ref="H58" ca="1">IF(F58="本科",INDIRECT("y"&amp;RANDBETWEEN(3,12)),INDIRECT("z"&amp;RANDBETWEEN(3,11)))</f>
        <v>软件工程</v>
      </c>
      <c r="I58" t="str">
        <f t="shared" ca="1" si="2"/>
        <v>软件开发</v>
      </c>
      <c r="J58" t="str" cm="1">
        <f t="array" aca="1" ref="J58" ca="1">_xlfn.IFS(I58=$O$3,INDIRECT("ac"&amp;RANDBETWEEN(2,7)),I58=$O$2,INDIRECT("ad"&amp;RANDBETWEEN(2,10)),I58=$O$4,INDIRECT("ab"&amp;RANDBETWEEN(2,35)),I58=$O$5,INDIRECT("ae"&amp;RANDBETWEEN(2,7)),I58=$O$6,INDIRECT("af"&amp;RANDBETWEEN(2,7)),I58=$O$7,INDIRECT("ab"&amp;RANDBETWEEN(2,35)))</f>
        <v>sql,.net,Spring</v>
      </c>
      <c r="K58">
        <f ca="1">IF(F58="本科",2021-T58-22,2021-T58-21)</f>
        <v>1</v>
      </c>
      <c r="T58">
        <f t="shared" ca="1" si="3"/>
        <v>1998</v>
      </c>
      <c r="U58">
        <f t="shared" ca="1" si="4"/>
        <v>10</v>
      </c>
      <c r="V58">
        <f t="shared" ca="1" si="5"/>
        <v>27</v>
      </c>
      <c r="W58" t="s">
        <v>204</v>
      </c>
      <c r="X58" t="s">
        <v>675</v>
      </c>
    </row>
    <row r="59" spans="1:24" x14ac:dyDescent="0.2">
      <c r="A59" t="s">
        <v>89</v>
      </c>
      <c r="B59" t="str" cm="1">
        <f t="array" aca="1" ref="B59" ca="1">INDIRECT("r"&amp;RANDBETWEEN(2,3))</f>
        <v>女</v>
      </c>
      <c r="C59" t="str" cm="1">
        <f t="array" aca="1" ref="C59" ca="1">INDIRECT("s"&amp;RANDBETWEEN(2,19))</f>
        <v>江苏省</v>
      </c>
      <c r="D59" t="s">
        <v>161</v>
      </c>
      <c r="E59" t="str">
        <f t="shared" ca="1" si="0"/>
        <v>1996-5-24</v>
      </c>
      <c r="F59" t="str">
        <f t="shared" ca="1" si="1"/>
        <v>高职专科</v>
      </c>
      <c r="G59" t="str" cm="1">
        <f t="array" aca="1" ref="G59" ca="1">INDIRECT("w"&amp;RANDBETWEEN(2,1431))</f>
        <v>承德石油高等</v>
      </c>
      <c r="H59" t="str" cm="1">
        <f t="array" aca="1" ref="H59" ca="1">IF(F59="本科",INDIRECT("y"&amp;RANDBETWEEN(3,12)),INDIRECT("z"&amp;RANDBETWEEN(3,11)))</f>
        <v>保密技术</v>
      </c>
      <c r="I59" t="str">
        <f t="shared" ca="1" si="2"/>
        <v>软件开发</v>
      </c>
      <c r="J59" t="str" cm="1">
        <f t="array" aca="1" ref="J59" ca="1">_xlfn.IFS(I59=$O$3,INDIRECT("ac"&amp;RANDBETWEEN(2,7)),I59=$O$2,INDIRECT("ad"&amp;RANDBETWEEN(2,10)),I59=$O$4,INDIRECT("ab"&amp;RANDBETWEEN(2,35)),I59=$O$5,INDIRECT("ae"&amp;RANDBETWEEN(2,7)),I59=$O$6,INDIRECT("af"&amp;RANDBETWEEN(2,7)),I59=$O$7,INDIRECT("ab"&amp;RANDBETWEEN(2,35)))</f>
        <v>HTML,CSS</v>
      </c>
      <c r="K59">
        <f ca="1">IF(F59="本科",2021-T59-22,2021-T59-21)</f>
        <v>4</v>
      </c>
      <c r="T59">
        <f t="shared" ca="1" si="3"/>
        <v>1996</v>
      </c>
      <c r="U59">
        <f t="shared" ca="1" si="4"/>
        <v>5</v>
      </c>
      <c r="V59">
        <f t="shared" ca="1" si="5"/>
        <v>24</v>
      </c>
      <c r="W59" t="s">
        <v>204</v>
      </c>
      <c r="X59" t="s">
        <v>675</v>
      </c>
    </row>
    <row r="60" spans="1:24" x14ac:dyDescent="0.2">
      <c r="A60" t="s">
        <v>90</v>
      </c>
      <c r="B60" t="str" cm="1">
        <f t="array" aca="1" ref="B60" ca="1">INDIRECT("r"&amp;RANDBETWEEN(2,3))</f>
        <v>男</v>
      </c>
      <c r="C60" t="str" cm="1">
        <f t="array" aca="1" ref="C60" ca="1">INDIRECT("s"&amp;RANDBETWEEN(2,19))</f>
        <v>辽宁省</v>
      </c>
      <c r="D60" t="s">
        <v>161</v>
      </c>
      <c r="E60" t="str">
        <f t="shared" ca="1" si="0"/>
        <v>1996-4-18</v>
      </c>
      <c r="F60" t="str">
        <f t="shared" ca="1" si="1"/>
        <v>本科</v>
      </c>
      <c r="G60" t="str" cm="1">
        <f t="array" aca="1" ref="G60" ca="1">INDIRECT("w"&amp;RANDBETWEEN(2,1431))</f>
        <v>大连理工大学</v>
      </c>
      <c r="H60" t="str" cm="1">
        <f t="array" aca="1" ref="H60" ca="1">IF(F60="本科",INDIRECT("y"&amp;RANDBETWEEN(3,12)),INDIRECT("z"&amp;RANDBETWEEN(3,11)))</f>
        <v>统计学</v>
      </c>
      <c r="I60" t="str">
        <f t="shared" ca="1" si="2"/>
        <v>数据分析</v>
      </c>
      <c r="J60" t="str" cm="1">
        <f t="array" aca="1" ref="J60" ca="1">_xlfn.IFS(I60=$O$3,INDIRECT("ac"&amp;RANDBETWEEN(2,7)),I60=$O$2,INDIRECT("ad"&amp;RANDBETWEEN(2,10)),I60=$O$4,INDIRECT("ab"&amp;RANDBETWEEN(2,35)),I60=$O$5,INDIRECT("ae"&amp;RANDBETWEEN(2,7)),I60=$O$6,INDIRECT("af"&amp;RANDBETWEEN(2,7)),I60=$O$7,INDIRECT("ab"&amp;RANDBETWEEN(2,35)))</f>
        <v>数学/统计学专业,项目型产品</v>
      </c>
      <c r="K60">
        <f ca="1">IF(F60="本科",2021-T60-22,2021-T60-21)</f>
        <v>3</v>
      </c>
      <c r="T60">
        <f t="shared" ca="1" si="3"/>
        <v>1996</v>
      </c>
      <c r="U60">
        <f t="shared" ca="1" si="4"/>
        <v>4</v>
      </c>
      <c r="V60">
        <f t="shared" ca="1" si="5"/>
        <v>18</v>
      </c>
      <c r="W60" t="s">
        <v>205</v>
      </c>
      <c r="X60" t="s">
        <v>675</v>
      </c>
    </row>
    <row r="61" spans="1:24" x14ac:dyDescent="0.2">
      <c r="A61" t="s">
        <v>91</v>
      </c>
      <c r="B61" t="str" cm="1">
        <f t="array" aca="1" ref="B61" ca="1">INDIRECT("r"&amp;RANDBETWEEN(2,3))</f>
        <v>男</v>
      </c>
      <c r="C61" t="str" cm="1">
        <f t="array" aca="1" ref="C61" ca="1">INDIRECT("s"&amp;RANDBETWEEN(2,19))</f>
        <v>四川省</v>
      </c>
      <c r="D61" t="s">
        <v>161</v>
      </c>
      <c r="E61" t="str">
        <f t="shared" ca="1" si="0"/>
        <v>1990-9-20</v>
      </c>
      <c r="F61" t="str">
        <f t="shared" ca="1" si="1"/>
        <v>高职专科</v>
      </c>
      <c r="G61" t="str" cm="1">
        <f t="array" aca="1" ref="G61" ca="1">INDIRECT("w"&amp;RANDBETWEEN(2,1431))</f>
        <v>辽宁机电职业</v>
      </c>
      <c r="H61" t="str" cm="1">
        <f t="array" aca="1" ref="H61" ca="1">IF(F61="本科",INDIRECT("y"&amp;RANDBETWEEN(3,12)),INDIRECT("z"&amp;RANDBETWEEN(3,11)))</f>
        <v>统计与大数据分析</v>
      </c>
      <c r="I61" t="str">
        <f t="shared" ca="1" si="2"/>
        <v>数据分析</v>
      </c>
      <c r="J61" t="str" cm="1">
        <f t="array" aca="1" ref="J61" ca="1">_xlfn.IFS(I61=$O$3,INDIRECT("ac"&amp;RANDBETWEEN(2,7)),I61=$O$2,INDIRECT("ad"&amp;RANDBETWEEN(2,10)),I61=$O$4,INDIRECT("ab"&amp;RANDBETWEEN(2,35)),I61=$O$5,INDIRECT("ae"&amp;RANDBETWEEN(2,7)),I61=$O$6,INDIRECT("af"&amp;RANDBETWEEN(2,7)),I61=$O$7,INDIRECT("ab"&amp;RANDBETWEEN(2,35)))</f>
        <v>SQL</v>
      </c>
      <c r="K61">
        <f ca="1">IF(F61="本科",2021-T61-22,2021-T61-21)</f>
        <v>10</v>
      </c>
      <c r="T61">
        <f t="shared" ca="1" si="3"/>
        <v>1990</v>
      </c>
      <c r="U61">
        <f t="shared" ca="1" si="4"/>
        <v>9</v>
      </c>
      <c r="V61">
        <f t="shared" ca="1" si="5"/>
        <v>20</v>
      </c>
      <c r="W61" t="s">
        <v>206</v>
      </c>
      <c r="X61" t="s">
        <v>675</v>
      </c>
    </row>
    <row r="62" spans="1:24" x14ac:dyDescent="0.2">
      <c r="A62" t="s">
        <v>92</v>
      </c>
      <c r="B62" t="str" cm="1">
        <f t="array" aca="1" ref="B62" ca="1">INDIRECT("r"&amp;RANDBETWEEN(2,3))</f>
        <v>女</v>
      </c>
      <c r="C62" t="str" cm="1">
        <f t="array" aca="1" ref="C62" ca="1">INDIRECT("s"&amp;RANDBETWEEN(2,19))</f>
        <v>福建省</v>
      </c>
      <c r="D62" t="s">
        <v>161</v>
      </c>
      <c r="E62" t="str">
        <f t="shared" ca="1" si="0"/>
        <v>1993-4-4</v>
      </c>
      <c r="F62" t="str">
        <f t="shared" ca="1" si="1"/>
        <v>本科</v>
      </c>
      <c r="G62" t="str" cm="1">
        <f t="array" aca="1" ref="G62" ca="1">INDIRECT("w"&amp;RANDBETWEEN(2,1431))</f>
        <v>宜宾学院</v>
      </c>
      <c r="H62" t="str" cm="1">
        <f t="array" aca="1" ref="H62" ca="1">IF(F62="本科",INDIRECT("y"&amp;RANDBETWEEN(3,12)),INDIRECT("z"&amp;RANDBETWEEN(3,11)))</f>
        <v>信息与计算科学</v>
      </c>
      <c r="I62" t="str">
        <f t="shared" ca="1" si="2"/>
        <v>数据分析</v>
      </c>
      <c r="J62" t="str" cm="1">
        <f t="array" aca="1" ref="J62" ca="1">_xlfn.IFS(I62=$O$3,INDIRECT("ac"&amp;RANDBETWEEN(2,7)),I62=$O$2,INDIRECT("ad"&amp;RANDBETWEEN(2,10)),I62=$O$4,INDIRECT("ab"&amp;RANDBETWEEN(2,35)),I62=$O$5,INDIRECT("ae"&amp;RANDBETWEEN(2,7)),I62=$O$6,INDIRECT("af"&amp;RANDBETWEEN(2,7)),I62=$O$7,INDIRECT("ab"&amp;RANDBETWEEN(2,35)))</f>
        <v>SPSS,SAS,Python</v>
      </c>
      <c r="K62">
        <f ca="1">IF(F62="本科",2021-T62-22,2021-T62-21)</f>
        <v>6</v>
      </c>
      <c r="T62">
        <f t="shared" ca="1" si="3"/>
        <v>1993</v>
      </c>
      <c r="U62">
        <f t="shared" ca="1" si="4"/>
        <v>4</v>
      </c>
      <c r="V62">
        <f t="shared" ca="1" si="5"/>
        <v>4</v>
      </c>
      <c r="W62" t="s">
        <v>207</v>
      </c>
      <c r="X62" t="s">
        <v>675</v>
      </c>
    </row>
    <row r="63" spans="1:24" x14ac:dyDescent="0.2">
      <c r="A63" t="s">
        <v>93</v>
      </c>
      <c r="B63" t="str" cm="1">
        <f t="array" aca="1" ref="B63" ca="1">INDIRECT("r"&amp;RANDBETWEEN(2,3))</f>
        <v>女</v>
      </c>
      <c r="C63" t="str" cm="1">
        <f t="array" aca="1" ref="C63" ca="1">INDIRECT("s"&amp;RANDBETWEEN(2,19))</f>
        <v>安徽省</v>
      </c>
      <c r="D63" t="s">
        <v>161</v>
      </c>
      <c r="E63" t="str">
        <f t="shared" ca="1" si="0"/>
        <v>1994-9-23</v>
      </c>
      <c r="F63" t="str">
        <f t="shared" ca="1" si="1"/>
        <v>本科</v>
      </c>
      <c r="G63" t="str" cm="1">
        <f t="array" aca="1" ref="G63" ca="1">INDIRECT("w"&amp;RANDBETWEEN(2,1431))</f>
        <v>北京城市学院</v>
      </c>
      <c r="H63" t="str" cm="1">
        <f t="array" aca="1" ref="H63" ca="1">IF(F63="本科",INDIRECT("y"&amp;RANDBETWEEN(3,12)),INDIRECT("z"&amp;RANDBETWEEN(3,11)))</f>
        <v>数理基础科学</v>
      </c>
      <c r="I63" t="str">
        <f t="shared" ca="1" si="2"/>
        <v>数据分析</v>
      </c>
      <c r="J63" t="str" cm="1">
        <f t="array" aca="1" ref="J63" ca="1">_xlfn.IFS(I63=$O$3,INDIRECT("ac"&amp;RANDBETWEEN(2,7)),I63=$O$2,INDIRECT("ad"&amp;RANDBETWEEN(2,10)),I63=$O$4,INDIRECT("ab"&amp;RANDBETWEEN(2,35)),I63=$O$5,INDIRECT("ae"&amp;RANDBETWEEN(2,7)),I63=$O$6,INDIRECT("af"&amp;RANDBETWEEN(2,7)),I63=$O$7,INDIRECT("ab"&amp;RANDBETWEEN(2,35)))</f>
        <v>Python,SQL,数据挖掘,数据分析</v>
      </c>
      <c r="K63">
        <f ca="1">IF(F63="本科",2021-T63-22,2021-T63-21)</f>
        <v>5</v>
      </c>
      <c r="T63">
        <f t="shared" ca="1" si="3"/>
        <v>1994</v>
      </c>
      <c r="U63">
        <f t="shared" ca="1" si="4"/>
        <v>9</v>
      </c>
      <c r="V63">
        <f t="shared" ca="1" si="5"/>
        <v>23</v>
      </c>
      <c r="W63" t="s">
        <v>208</v>
      </c>
      <c r="X63" t="s">
        <v>675</v>
      </c>
    </row>
    <row r="64" spans="1:24" x14ac:dyDescent="0.2">
      <c r="A64" t="s">
        <v>94</v>
      </c>
      <c r="B64" t="str" cm="1">
        <f t="array" aca="1" ref="B64" ca="1">INDIRECT("r"&amp;RANDBETWEEN(2,3))</f>
        <v>男</v>
      </c>
      <c r="C64" t="str" cm="1">
        <f t="array" aca="1" ref="C64" ca="1">INDIRECT("s"&amp;RANDBETWEEN(2,19))</f>
        <v>云南省</v>
      </c>
      <c r="D64" t="s">
        <v>161</v>
      </c>
      <c r="E64" t="str">
        <f t="shared" ca="1" si="0"/>
        <v>1993-4-2</v>
      </c>
      <c r="F64" t="str">
        <f t="shared" ca="1" si="1"/>
        <v>本科</v>
      </c>
      <c r="G64" t="str" cm="1">
        <f t="array" aca="1" ref="G64" ca="1">INDIRECT("w"&amp;RANDBETWEEN(2,1431))</f>
        <v>中国地质大学</v>
      </c>
      <c r="H64" t="str" cm="1">
        <f t="array" aca="1" ref="H64" ca="1">IF(F64="本科",INDIRECT("y"&amp;RANDBETWEEN(3,12)),INDIRECT("z"&amp;RANDBETWEEN(3,11)))</f>
        <v>数据科学与大数据技术</v>
      </c>
      <c r="I64" t="str">
        <f t="shared" ca="1" si="2"/>
        <v>数据分析</v>
      </c>
      <c r="J64" t="str" cm="1">
        <f t="array" aca="1" ref="J64" ca="1">_xlfn.IFS(I64=$O$3,INDIRECT("ac"&amp;RANDBETWEEN(2,7)),I64=$O$2,INDIRECT("ad"&amp;RANDBETWEEN(2,10)),I64=$O$4,INDIRECT("ab"&amp;RANDBETWEEN(2,35)),I64=$O$5,INDIRECT("ae"&amp;RANDBETWEEN(2,7)),I64=$O$6,INDIRECT("af"&amp;RANDBETWEEN(2,7)),I64=$O$7,INDIRECT("ab"&amp;RANDBETWEEN(2,35)))</f>
        <v>SQL,Scala,Spark,Kafka,HADOOP,Java,Linux,架构</v>
      </c>
      <c r="K64">
        <f ca="1">IF(F64="本科",2021-T64-22,2021-T64-21)</f>
        <v>6</v>
      </c>
      <c r="T64">
        <f t="shared" ca="1" si="3"/>
        <v>1993</v>
      </c>
      <c r="U64">
        <f t="shared" ca="1" si="4"/>
        <v>4</v>
      </c>
      <c r="V64">
        <f t="shared" ca="1" si="5"/>
        <v>2</v>
      </c>
      <c r="W64" t="s">
        <v>209</v>
      </c>
      <c r="X64" t="s">
        <v>675</v>
      </c>
    </row>
    <row r="65" spans="1:24" x14ac:dyDescent="0.2">
      <c r="A65" t="s">
        <v>95</v>
      </c>
      <c r="B65" t="str" cm="1">
        <f t="array" aca="1" ref="B65" ca="1">INDIRECT("r"&amp;RANDBETWEEN(2,3))</f>
        <v>男</v>
      </c>
      <c r="C65" t="str" cm="1">
        <f t="array" aca="1" ref="C65" ca="1">INDIRECT("s"&amp;RANDBETWEEN(2,19))</f>
        <v>吉林省</v>
      </c>
      <c r="D65" t="s">
        <v>161</v>
      </c>
      <c r="E65" t="str">
        <f t="shared" ca="1" si="0"/>
        <v>1991-7-14</v>
      </c>
      <c r="F65" t="str">
        <f t="shared" ca="1" si="1"/>
        <v>本科</v>
      </c>
      <c r="G65" t="str" cm="1">
        <f t="array" aca="1" ref="G65" ca="1">INDIRECT("w"&amp;RANDBETWEEN(2,1431))</f>
        <v>长春工业大学</v>
      </c>
      <c r="H65" t="str" cm="1">
        <f t="array" aca="1" ref="H65" ca="1">IF(F65="本科",INDIRECT("y"&amp;RANDBETWEEN(3,12)),INDIRECT("z"&amp;RANDBETWEEN(3,11)))</f>
        <v>数理基础科学</v>
      </c>
      <c r="I65" t="str">
        <f t="shared" ca="1" si="2"/>
        <v>数据分析</v>
      </c>
      <c r="J65" t="str" cm="1">
        <f t="array" aca="1" ref="J65" ca="1">_xlfn.IFS(I65=$O$3,INDIRECT("ac"&amp;RANDBETWEEN(2,7)),I65=$O$2,INDIRECT("ad"&amp;RANDBETWEEN(2,10)),I65=$O$4,INDIRECT("ab"&amp;RANDBETWEEN(2,35)),I65=$O$5,INDIRECT("ae"&amp;RANDBETWEEN(2,7)),I65=$O$6,INDIRECT("af"&amp;RANDBETWEEN(2,7)),I65=$O$7,INDIRECT("ab"&amp;RANDBETWEEN(2,35)))</f>
        <v>SQL,Scala,Spark,Kafka,HADOOP,Java,Linux,架构</v>
      </c>
      <c r="K65">
        <f ca="1">IF(F65="本科",2021-T65-22,2021-T65-21)</f>
        <v>8</v>
      </c>
      <c r="T65">
        <f t="shared" ca="1" si="3"/>
        <v>1991</v>
      </c>
      <c r="U65">
        <f t="shared" ca="1" si="4"/>
        <v>7</v>
      </c>
      <c r="V65">
        <f t="shared" ca="1" si="5"/>
        <v>14</v>
      </c>
      <c r="W65" t="s">
        <v>210</v>
      </c>
      <c r="X65" t="s">
        <v>675</v>
      </c>
    </row>
    <row r="66" spans="1:24" x14ac:dyDescent="0.2">
      <c r="A66" t="s">
        <v>96</v>
      </c>
      <c r="B66" t="str" cm="1">
        <f t="array" aca="1" ref="B66" ca="1">INDIRECT("r"&amp;RANDBETWEEN(2,3))</f>
        <v>男</v>
      </c>
      <c r="C66" t="str" cm="1">
        <f t="array" aca="1" ref="C66" ca="1">INDIRECT("s"&amp;RANDBETWEEN(2,19))</f>
        <v>湖南省</v>
      </c>
      <c r="D66" t="s">
        <v>161</v>
      </c>
      <c r="E66" t="str">
        <f t="shared" ca="1" si="0"/>
        <v>1996-11-4</v>
      </c>
      <c r="F66" t="str">
        <f t="shared" ca="1" si="1"/>
        <v>本科</v>
      </c>
      <c r="G66" t="str" cm="1">
        <f t="array" aca="1" ref="G66" ca="1">INDIRECT("w"&amp;RANDBETWEEN(2,1431))</f>
        <v>贺州学院</v>
      </c>
      <c r="H66" t="str" cm="1">
        <f t="array" aca="1" ref="H66" ca="1">IF(F66="本科",INDIRECT("y"&amp;RANDBETWEEN(3,12)),INDIRECT("z"&amp;RANDBETWEEN(3,11)))</f>
        <v>数学与应用数学</v>
      </c>
      <c r="I66" t="str">
        <f t="shared" ca="1" si="2"/>
        <v>数据分析</v>
      </c>
      <c r="J66" t="str" cm="1">
        <f t="array" aca="1" ref="J66" ca="1">_xlfn.IFS(I66=$O$3,INDIRECT("ac"&amp;RANDBETWEEN(2,7)),I66=$O$2,INDIRECT("ad"&amp;RANDBETWEEN(2,10)),I66=$O$4,INDIRECT("ab"&amp;RANDBETWEEN(2,35)),I66=$O$5,INDIRECT("ae"&amp;RANDBETWEEN(2,7)),I66=$O$6,INDIRECT("af"&amp;RANDBETWEEN(2,7)),I66=$O$7,INDIRECT("ab"&amp;RANDBETWEEN(2,35)))</f>
        <v>Python,Excel</v>
      </c>
      <c r="K66">
        <f ca="1">IF(F66="本科",2021-T66-22,2021-T66-21)</f>
        <v>3</v>
      </c>
      <c r="T66">
        <f t="shared" ca="1" si="3"/>
        <v>1996</v>
      </c>
      <c r="U66">
        <f t="shared" ca="1" si="4"/>
        <v>11</v>
      </c>
      <c r="V66">
        <f t="shared" ca="1" si="5"/>
        <v>4</v>
      </c>
      <c r="W66" t="s">
        <v>211</v>
      </c>
      <c r="X66" t="s">
        <v>675</v>
      </c>
    </row>
    <row r="67" spans="1:24" x14ac:dyDescent="0.2">
      <c r="A67" t="s">
        <v>97</v>
      </c>
      <c r="B67" t="str" cm="1">
        <f t="array" aca="1" ref="B67" ca="1">INDIRECT("r"&amp;RANDBETWEEN(2,3))</f>
        <v>女</v>
      </c>
      <c r="C67" t="str" cm="1">
        <f t="array" aca="1" ref="C67" ca="1">INDIRECT("s"&amp;RANDBETWEEN(2,19))</f>
        <v>安徽省</v>
      </c>
      <c r="D67" t="s">
        <v>161</v>
      </c>
      <c r="E67" t="str">
        <f t="shared" ref="E67:E125" ca="1" si="6">T67&amp;"-"&amp;U67&amp;"-"&amp;V67</f>
        <v>1989-12-13</v>
      </c>
      <c r="F67" t="str">
        <f t="shared" ref="F67:F125" ca="1" si="7">VLOOKUP(G67,$W$2:$X$1431,2,)</f>
        <v>本科</v>
      </c>
      <c r="G67" t="str" cm="1">
        <f t="array" aca="1" ref="G67" ca="1">INDIRECT("w"&amp;RANDBETWEEN(2,1431))</f>
        <v>中国矿业大学</v>
      </c>
      <c r="H67" t="str" cm="1">
        <f t="array" aca="1" ref="H67" ca="1">IF(F67="本科",INDIRECT("y"&amp;RANDBETWEEN(3,12)),INDIRECT("z"&amp;RANDBETWEEN(3,11)))</f>
        <v>软件工程</v>
      </c>
      <c r="I67" t="str">
        <f t="shared" ref="I67:I125" ca="1" si="8">VLOOKUP(H67,$Y$19:$Z$37,2,)</f>
        <v>软件开发</v>
      </c>
      <c r="J67" t="str" cm="1">
        <f t="array" aca="1" ref="J67" ca="1">_xlfn.IFS(I67=$O$3,INDIRECT("ac"&amp;RANDBETWEEN(2,7)),I67=$O$2,INDIRECT("ad"&amp;RANDBETWEEN(2,10)),I67=$O$4,INDIRECT("ab"&amp;RANDBETWEEN(2,35)),I67=$O$5,INDIRECT("ae"&amp;RANDBETWEEN(2,7)),I67=$O$6,INDIRECT("af"&amp;RANDBETWEEN(2,7)),I67=$O$7,INDIRECT("ab"&amp;RANDBETWEEN(2,35)))</f>
        <v>sql,.net,Spring</v>
      </c>
      <c r="K67">
        <f ca="1">IF(F67="本科",2021-T67-22,2021-T67-21)</f>
        <v>10</v>
      </c>
      <c r="T67">
        <f t="shared" ref="T67:T125" ca="1" si="9">RANDBETWEEN(1987,1998)</f>
        <v>1989</v>
      </c>
      <c r="U67">
        <f t="shared" ref="U67:U125" ca="1" si="10">RANDBETWEEN(1,12)</f>
        <v>12</v>
      </c>
      <c r="V67">
        <f t="shared" ref="V67:V125" ca="1" si="11">RANDBETWEEN(1,30)</f>
        <v>13</v>
      </c>
      <c r="W67" t="s">
        <v>212</v>
      </c>
      <c r="X67" t="s">
        <v>675</v>
      </c>
    </row>
    <row r="68" spans="1:24" x14ac:dyDescent="0.2">
      <c r="A68" t="s">
        <v>98</v>
      </c>
      <c r="B68" t="str" cm="1">
        <f t="array" aca="1" ref="B68" ca="1">INDIRECT("r"&amp;RANDBETWEEN(2,3))</f>
        <v>女</v>
      </c>
      <c r="C68" t="str" cm="1">
        <f t="array" aca="1" ref="C68" ca="1">INDIRECT("s"&amp;RANDBETWEEN(2,19))</f>
        <v>江苏省</v>
      </c>
      <c r="D68" t="s">
        <v>161</v>
      </c>
      <c r="E68" t="str">
        <f t="shared" ca="1" si="6"/>
        <v>1989-7-7</v>
      </c>
      <c r="F68" t="str">
        <f t="shared" ca="1" si="7"/>
        <v>本科</v>
      </c>
      <c r="G68" t="str" cm="1">
        <f t="array" aca="1" ref="G68" ca="1">INDIRECT("w"&amp;RANDBETWEEN(2,1431))</f>
        <v>怀化学院</v>
      </c>
      <c r="H68" t="str" cm="1">
        <f t="array" aca="1" ref="H68" ca="1">IF(F68="本科",INDIRECT("y"&amp;RANDBETWEEN(3,12)),INDIRECT("z"&amp;RANDBETWEEN(3,11)))</f>
        <v>数理基础科学</v>
      </c>
      <c r="I68" t="str">
        <f t="shared" ca="1" si="8"/>
        <v>数据分析</v>
      </c>
      <c r="J68" t="str" cm="1">
        <f t="array" aca="1" ref="J68" ca="1">_xlfn.IFS(I68=$O$3,INDIRECT("ac"&amp;RANDBETWEEN(2,7)),I68=$O$2,INDIRECT("ad"&amp;RANDBETWEEN(2,10)),I68=$O$4,INDIRECT("ab"&amp;RANDBETWEEN(2,35)),I68=$O$5,INDIRECT("ae"&amp;RANDBETWEEN(2,7)),I68=$O$6,INDIRECT("af"&amp;RANDBETWEEN(2,7)),I68=$O$7,INDIRECT("ab"&amp;RANDBETWEEN(2,35)))</f>
        <v>业务分析,Hive</v>
      </c>
      <c r="K68">
        <f ca="1">IF(F68="本科",2021-T68-22,2021-T68-21)</f>
        <v>10</v>
      </c>
      <c r="T68">
        <f t="shared" ca="1" si="9"/>
        <v>1989</v>
      </c>
      <c r="U68">
        <f t="shared" ca="1" si="10"/>
        <v>7</v>
      </c>
      <c r="V68">
        <f t="shared" ca="1" si="11"/>
        <v>7</v>
      </c>
      <c r="W68" t="s">
        <v>213</v>
      </c>
      <c r="X68" t="s">
        <v>675</v>
      </c>
    </row>
    <row r="69" spans="1:24" x14ac:dyDescent="0.2">
      <c r="A69" t="s">
        <v>99</v>
      </c>
      <c r="B69" t="str" cm="1">
        <f t="array" aca="1" ref="B69" ca="1">INDIRECT("r"&amp;RANDBETWEEN(2,3))</f>
        <v>男</v>
      </c>
      <c r="C69" t="str" cm="1">
        <f t="array" aca="1" ref="C69" ca="1">INDIRECT("s"&amp;RANDBETWEEN(2,19))</f>
        <v>河北省</v>
      </c>
      <c r="D69" t="s">
        <v>161</v>
      </c>
      <c r="E69" t="str">
        <f t="shared" ca="1" si="6"/>
        <v>1992-3-15</v>
      </c>
      <c r="F69" t="str">
        <f t="shared" ca="1" si="7"/>
        <v>高职专科</v>
      </c>
      <c r="G69" t="str" cm="1">
        <f t="array" aca="1" ref="G69" ca="1">INDIRECT("w"&amp;RANDBETWEEN(2,1431))</f>
        <v>保定职业技术</v>
      </c>
      <c r="H69" t="str" cm="1">
        <f t="array" aca="1" ref="H69" ca="1">IF(F69="本科",INDIRECT("y"&amp;RANDBETWEEN(3,12)),INDIRECT("z"&amp;RANDBETWEEN(3,11)))</f>
        <v>软件技术</v>
      </c>
      <c r="I69" t="str">
        <f t="shared" ca="1" si="8"/>
        <v>软件开发</v>
      </c>
      <c r="J69" t="str" cm="1">
        <f t="array" aca="1" ref="J69" ca="1">_xlfn.IFS(I69=$O$3,INDIRECT("ac"&amp;RANDBETWEEN(2,7)),I69=$O$2,INDIRECT("ad"&amp;RANDBETWEEN(2,10)),I69=$O$4,INDIRECT("ab"&amp;RANDBETWEEN(2,35)),I69=$O$5,INDIRECT("ae"&amp;RANDBETWEEN(2,7)),I69=$O$6,INDIRECT("af"&amp;RANDBETWEEN(2,7)),I69=$O$7,INDIRECT("ab"&amp;RANDBETWEEN(2,35)))</f>
        <v>Hibernate,Dubbo,Oracle</v>
      </c>
      <c r="K69">
        <f ca="1">IF(F69="本科",2021-T69-22,2021-T69-21)</f>
        <v>8</v>
      </c>
      <c r="T69">
        <f t="shared" ca="1" si="9"/>
        <v>1992</v>
      </c>
      <c r="U69">
        <f t="shared" ca="1" si="10"/>
        <v>3</v>
      </c>
      <c r="V69">
        <f t="shared" ca="1" si="11"/>
        <v>15</v>
      </c>
      <c r="W69" t="s">
        <v>214</v>
      </c>
      <c r="X69" t="s">
        <v>675</v>
      </c>
    </row>
    <row r="70" spans="1:24" x14ac:dyDescent="0.2">
      <c r="A70" t="s">
        <v>100</v>
      </c>
      <c r="B70" t="str" cm="1">
        <f t="array" aca="1" ref="B70" ca="1">INDIRECT("r"&amp;RANDBETWEEN(2,3))</f>
        <v>男</v>
      </c>
      <c r="C70" t="str" cm="1">
        <f t="array" aca="1" ref="C70" ca="1">INDIRECT("s"&amp;RANDBETWEEN(2,19))</f>
        <v>云南省</v>
      </c>
      <c r="D70" t="s">
        <v>161</v>
      </c>
      <c r="E70" t="str">
        <f t="shared" ca="1" si="6"/>
        <v>1992-6-29</v>
      </c>
      <c r="F70" t="str">
        <f t="shared" ca="1" si="7"/>
        <v>本科</v>
      </c>
      <c r="G70" t="str" cm="1">
        <f t="array" aca="1" ref="G70" ca="1">INDIRECT("w"&amp;RANDBETWEEN(2,1431))</f>
        <v>沈阳航空工业</v>
      </c>
      <c r="H70" t="str" cm="1">
        <f t="array" aca="1" ref="H70" ca="1">IF(F70="本科",INDIRECT("y"&amp;RANDBETWEEN(3,12)),INDIRECT("z"&amp;RANDBETWEEN(3,11)))</f>
        <v>新媒体技术</v>
      </c>
      <c r="I70" t="str">
        <f t="shared" ca="1" si="8"/>
        <v>新媒体运营</v>
      </c>
      <c r="J70" t="str" cm="1">
        <f t="array" aca="1" ref="J70" ca="1">_xlfn.IFS(I70=$O$3,INDIRECT("ac"&amp;RANDBETWEEN(2,7)),I70=$O$2,INDIRECT("ad"&amp;RANDBETWEEN(2,10)),I70=$O$4,INDIRECT("ab"&amp;RANDBETWEEN(2,35)),I70=$O$5,INDIRECT("ae"&amp;RANDBETWEEN(2,7)),I70=$O$6,INDIRECT("af"&amp;RANDBETWEEN(2,7)),I70=$O$7,INDIRECT("ab"&amp;RANDBETWEEN(2,35)))</f>
        <v>活动策划,软文推广,H5制作</v>
      </c>
      <c r="K70">
        <f ca="1">IF(F70="本科",2021-T70-22,2021-T70-21)</f>
        <v>7</v>
      </c>
      <c r="T70">
        <f t="shared" ca="1" si="9"/>
        <v>1992</v>
      </c>
      <c r="U70">
        <f t="shared" ca="1" si="10"/>
        <v>6</v>
      </c>
      <c r="V70">
        <f t="shared" ca="1" si="11"/>
        <v>29</v>
      </c>
      <c r="W70" t="s">
        <v>215</v>
      </c>
      <c r="X70" t="s">
        <v>675</v>
      </c>
    </row>
    <row r="71" spans="1:24" x14ac:dyDescent="0.2">
      <c r="A71" t="s">
        <v>101</v>
      </c>
      <c r="B71" t="str" cm="1">
        <f t="array" aca="1" ref="B71" ca="1">INDIRECT("r"&amp;RANDBETWEEN(2,3))</f>
        <v>男</v>
      </c>
      <c r="C71" t="str" cm="1">
        <f t="array" aca="1" ref="C71" ca="1">INDIRECT("s"&amp;RANDBETWEEN(2,19))</f>
        <v>河北省</v>
      </c>
      <c r="D71" t="s">
        <v>161</v>
      </c>
      <c r="E71" t="str">
        <f t="shared" ca="1" si="6"/>
        <v>1997-2-3</v>
      </c>
      <c r="F71" t="str">
        <f t="shared" ca="1" si="7"/>
        <v>本科</v>
      </c>
      <c r="G71" t="str" cm="1">
        <f t="array" aca="1" ref="G71" ca="1">INDIRECT("w"&amp;RANDBETWEEN(2,1431))</f>
        <v>西安工程大学</v>
      </c>
      <c r="H71" t="str" cm="1">
        <f t="array" aca="1" ref="H71" ca="1">IF(F71="本科",INDIRECT("y"&amp;RANDBETWEEN(3,12)),INDIRECT("z"&amp;RANDBETWEEN(3,11)))</f>
        <v>信息与计算科学</v>
      </c>
      <c r="I71" t="str">
        <f t="shared" ca="1" si="8"/>
        <v>数据分析</v>
      </c>
      <c r="J71" t="str" cm="1">
        <f t="array" aca="1" ref="J71" ca="1">_xlfn.IFS(I71=$O$3,INDIRECT("ac"&amp;RANDBETWEEN(2,7)),I71=$O$2,INDIRECT("ad"&amp;RANDBETWEEN(2,10)),I71=$O$4,INDIRECT("ab"&amp;RANDBETWEEN(2,35)),I71=$O$5,INDIRECT("ae"&amp;RANDBETWEEN(2,7)),I71=$O$6,INDIRECT("af"&amp;RANDBETWEEN(2,7)),I71=$O$7,INDIRECT("ab"&amp;RANDBETWEEN(2,35)))</f>
        <v>Excel,Hive,Python</v>
      </c>
      <c r="K71">
        <f ca="1">IF(F71="本科",2021-T71-22,2021-T71-21)</f>
        <v>2</v>
      </c>
      <c r="T71">
        <f t="shared" ca="1" si="9"/>
        <v>1997</v>
      </c>
      <c r="U71">
        <f t="shared" ca="1" si="10"/>
        <v>2</v>
      </c>
      <c r="V71">
        <f t="shared" ca="1" si="11"/>
        <v>3</v>
      </c>
      <c r="W71" t="s">
        <v>216</v>
      </c>
      <c r="X71" t="s">
        <v>675</v>
      </c>
    </row>
    <row r="72" spans="1:24" x14ac:dyDescent="0.2">
      <c r="A72" t="s">
        <v>102</v>
      </c>
      <c r="B72" t="str" cm="1">
        <f t="array" aca="1" ref="B72" ca="1">INDIRECT("r"&amp;RANDBETWEEN(2,3))</f>
        <v>男</v>
      </c>
      <c r="C72" t="str" cm="1">
        <f t="array" aca="1" ref="C72" ca="1">INDIRECT("s"&amp;RANDBETWEEN(2,19))</f>
        <v>安徽省</v>
      </c>
      <c r="D72" t="s">
        <v>161</v>
      </c>
      <c r="E72" t="str">
        <f t="shared" ca="1" si="6"/>
        <v>1996-10-26</v>
      </c>
      <c r="F72" t="str">
        <f t="shared" ca="1" si="7"/>
        <v>本科</v>
      </c>
      <c r="G72" t="str" cm="1">
        <f t="array" aca="1" ref="G72" ca="1">INDIRECT("w"&amp;RANDBETWEEN(2,1431))</f>
        <v>湘潭大学</v>
      </c>
      <c r="H72" t="str" cm="1">
        <f t="array" aca="1" ref="H72" ca="1">IF(F72="本科",INDIRECT("y"&amp;RANDBETWEEN(3,12)),INDIRECT("z"&amp;RANDBETWEEN(3,11)))</f>
        <v>电子与计算机工程</v>
      </c>
      <c r="I72" t="str">
        <f t="shared" ca="1" si="8"/>
        <v>软件开发</v>
      </c>
      <c r="J72" t="str" cm="1">
        <f t="array" aca="1" ref="J72" ca="1">_xlfn.IFS(I72=$O$3,INDIRECT("ac"&amp;RANDBETWEEN(2,7)),I72=$O$2,INDIRECT("ad"&amp;RANDBETWEEN(2,10)),I72=$O$4,INDIRECT("ab"&amp;RANDBETWEEN(2,35)),I72=$O$5,INDIRECT("ae"&amp;RANDBETWEEN(2,7)),I72=$O$6,INDIRECT("af"&amp;RANDBETWEEN(2,7)),I72=$O$7,INDIRECT("ab"&amp;RANDBETWEEN(2,35)))</f>
        <v>Hibernate,Dubbo</v>
      </c>
      <c r="K72">
        <f ca="1">IF(F72="本科",2021-T72-22,2021-T72-21)</f>
        <v>3</v>
      </c>
      <c r="T72">
        <f t="shared" ca="1" si="9"/>
        <v>1996</v>
      </c>
      <c r="U72">
        <f t="shared" ca="1" si="10"/>
        <v>10</v>
      </c>
      <c r="V72">
        <f t="shared" ca="1" si="11"/>
        <v>26</v>
      </c>
      <c r="W72" t="s">
        <v>217</v>
      </c>
      <c r="X72" t="s">
        <v>675</v>
      </c>
    </row>
    <row r="73" spans="1:24" x14ac:dyDescent="0.2">
      <c r="A73" t="s">
        <v>103</v>
      </c>
      <c r="B73" t="str" cm="1">
        <f t="array" aca="1" ref="B73" ca="1">INDIRECT("r"&amp;RANDBETWEEN(2,3))</f>
        <v>女</v>
      </c>
      <c r="C73" t="str" cm="1">
        <f t="array" aca="1" ref="C73" ca="1">INDIRECT("s"&amp;RANDBETWEEN(2,19))</f>
        <v>湖北省</v>
      </c>
      <c r="D73" t="s">
        <v>161</v>
      </c>
      <c r="E73" t="str">
        <f t="shared" ca="1" si="6"/>
        <v>1997-2-26</v>
      </c>
      <c r="F73" t="str">
        <f t="shared" ca="1" si="7"/>
        <v>本科</v>
      </c>
      <c r="G73" t="str" cm="1">
        <f t="array" aca="1" ref="G73" ca="1">INDIRECT("w"&amp;RANDBETWEEN(2,1431))</f>
        <v>黑龙江东方学</v>
      </c>
      <c r="H73" t="str" cm="1">
        <f t="array" aca="1" ref="H73" ca="1">IF(F73="本科",INDIRECT("y"&amp;RANDBETWEEN(3,12)),INDIRECT("z"&amp;RANDBETWEEN(3,11)))</f>
        <v>信息与计算科学</v>
      </c>
      <c r="I73" t="str">
        <f t="shared" ca="1" si="8"/>
        <v>数据分析</v>
      </c>
      <c r="J73" t="str" cm="1">
        <f t="array" aca="1" ref="J73" ca="1">_xlfn.IFS(I73=$O$3,INDIRECT("ac"&amp;RANDBETWEEN(2,7)),I73=$O$2,INDIRECT("ad"&amp;RANDBETWEEN(2,10)),I73=$O$4,INDIRECT("ab"&amp;RANDBETWEEN(2,35)),I73=$O$5,INDIRECT("ae"&amp;RANDBETWEEN(2,7)),I73=$O$6,INDIRECT("af"&amp;RANDBETWEEN(2,7)),I73=$O$7,INDIRECT("ab"&amp;RANDBETWEEN(2,35)))</f>
        <v>Excel,Matlab,Hadoop,Python,Spark,NumPy,Pandas,Charles</v>
      </c>
      <c r="K73">
        <f ca="1">IF(F73="本科",2021-T73-22,2021-T73-21)</f>
        <v>2</v>
      </c>
      <c r="T73">
        <f t="shared" ca="1" si="9"/>
        <v>1997</v>
      </c>
      <c r="U73">
        <f t="shared" ca="1" si="10"/>
        <v>2</v>
      </c>
      <c r="V73">
        <f t="shared" ca="1" si="11"/>
        <v>26</v>
      </c>
      <c r="W73" t="s">
        <v>218</v>
      </c>
      <c r="X73" t="s">
        <v>675</v>
      </c>
    </row>
    <row r="74" spans="1:24" x14ac:dyDescent="0.2">
      <c r="A74" t="s">
        <v>104</v>
      </c>
      <c r="B74" t="str" cm="1">
        <f t="array" aca="1" ref="B74" ca="1">INDIRECT("r"&amp;RANDBETWEEN(2,3))</f>
        <v>男</v>
      </c>
      <c r="C74" t="str" cm="1">
        <f t="array" aca="1" ref="C74" ca="1">INDIRECT("s"&amp;RANDBETWEEN(2,19))</f>
        <v>河南省</v>
      </c>
      <c r="D74" t="s">
        <v>161</v>
      </c>
      <c r="E74" t="str">
        <f t="shared" ca="1" si="6"/>
        <v>1992-9-22</v>
      </c>
      <c r="F74" t="str">
        <f t="shared" ca="1" si="7"/>
        <v>本科</v>
      </c>
      <c r="G74" t="str" cm="1">
        <f t="array" aca="1" ref="G74" ca="1">INDIRECT("w"&amp;RANDBETWEEN(2,1431))</f>
        <v>兰州理工大学</v>
      </c>
      <c r="H74" t="str" cm="1">
        <f t="array" aca="1" ref="H74" ca="1">IF(F74="本科",INDIRECT("y"&amp;RANDBETWEEN(3,12)),INDIRECT("z"&amp;RANDBETWEEN(3,11)))</f>
        <v>统计学</v>
      </c>
      <c r="I74" t="str">
        <f t="shared" ca="1" si="8"/>
        <v>数据分析</v>
      </c>
      <c r="J74" t="str" cm="1">
        <f t="array" aca="1" ref="J74" ca="1">_xlfn.IFS(I74=$O$3,INDIRECT("ac"&amp;RANDBETWEEN(2,7)),I74=$O$2,INDIRECT("ad"&amp;RANDBETWEEN(2,10)),I74=$O$4,INDIRECT("ab"&amp;RANDBETWEEN(2,35)),I74=$O$5,INDIRECT("ae"&amp;RANDBETWEEN(2,7)),I74=$O$6,INDIRECT("af"&amp;RANDBETWEEN(2,7)),I74=$O$7,INDIRECT("ab"&amp;RANDBETWEEN(2,35)))</f>
        <v>数据分析</v>
      </c>
      <c r="K74">
        <f ca="1">IF(F74="本科",2021-T74-22,2021-T74-21)</f>
        <v>7</v>
      </c>
      <c r="T74">
        <f t="shared" ca="1" si="9"/>
        <v>1992</v>
      </c>
      <c r="U74">
        <f t="shared" ca="1" si="10"/>
        <v>9</v>
      </c>
      <c r="V74">
        <f t="shared" ca="1" si="11"/>
        <v>22</v>
      </c>
      <c r="W74" t="s">
        <v>219</v>
      </c>
      <c r="X74" t="s">
        <v>675</v>
      </c>
    </row>
    <row r="75" spans="1:24" x14ac:dyDescent="0.2">
      <c r="A75" t="s">
        <v>105</v>
      </c>
      <c r="B75" t="str" cm="1">
        <f t="array" aca="1" ref="B75" ca="1">INDIRECT("r"&amp;RANDBETWEEN(2,3))</f>
        <v>女</v>
      </c>
      <c r="C75" t="str" cm="1">
        <f t="array" aca="1" ref="C75" ca="1">INDIRECT("s"&amp;RANDBETWEEN(2,19))</f>
        <v>辽宁省</v>
      </c>
      <c r="D75" t="s">
        <v>161</v>
      </c>
      <c r="E75" t="str">
        <f t="shared" ca="1" si="6"/>
        <v>1998-6-2</v>
      </c>
      <c r="F75" t="str">
        <f t="shared" ca="1" si="7"/>
        <v>本科</v>
      </c>
      <c r="G75" t="str" cm="1">
        <f t="array" aca="1" ref="G75" ca="1">INDIRECT("w"&amp;RANDBETWEEN(2,1431))</f>
        <v>河南工程学院</v>
      </c>
      <c r="H75" t="str" cm="1">
        <f t="array" aca="1" ref="H75" ca="1">IF(F75="本科",INDIRECT("y"&amp;RANDBETWEEN(3,12)),INDIRECT("z"&amp;RANDBETWEEN(3,11)))</f>
        <v>数理基础科学</v>
      </c>
      <c r="I75" t="str">
        <f t="shared" ca="1" si="8"/>
        <v>数据分析</v>
      </c>
      <c r="J75" t="str" cm="1">
        <f t="array" aca="1" ref="J75" ca="1">_xlfn.IFS(I75=$O$3,INDIRECT("ac"&amp;RANDBETWEEN(2,7)),I75=$O$2,INDIRECT("ad"&amp;RANDBETWEEN(2,10)),I75=$O$4,INDIRECT("ab"&amp;RANDBETWEEN(2,35)),I75=$O$5,INDIRECT("ae"&amp;RANDBETWEEN(2,7)),I75=$O$6,INDIRECT("af"&amp;RANDBETWEEN(2,7)),I75=$O$7,INDIRECT("ab"&amp;RANDBETWEEN(2,35)))</f>
        <v>Excel,Hive,Python</v>
      </c>
      <c r="K75">
        <f ca="1">IF(F75="本科",2021-T75-22,2021-T75-21)</f>
        <v>1</v>
      </c>
      <c r="T75">
        <f t="shared" ca="1" si="9"/>
        <v>1998</v>
      </c>
      <c r="U75">
        <f t="shared" ca="1" si="10"/>
        <v>6</v>
      </c>
      <c r="V75">
        <f t="shared" ca="1" si="11"/>
        <v>2</v>
      </c>
      <c r="W75" t="s">
        <v>220</v>
      </c>
      <c r="X75" t="s">
        <v>675</v>
      </c>
    </row>
    <row r="76" spans="1:24" x14ac:dyDescent="0.2">
      <c r="A76" t="s">
        <v>106</v>
      </c>
      <c r="B76" t="str" cm="1">
        <f t="array" aca="1" ref="B76" ca="1">INDIRECT("r"&amp;RANDBETWEEN(2,3))</f>
        <v>男</v>
      </c>
      <c r="C76" t="str" cm="1">
        <f t="array" aca="1" ref="C76" ca="1">INDIRECT("s"&amp;RANDBETWEEN(2,19))</f>
        <v>河南省</v>
      </c>
      <c r="D76" t="s">
        <v>161</v>
      </c>
      <c r="E76" t="str">
        <f t="shared" ca="1" si="6"/>
        <v>1995-8-7</v>
      </c>
      <c r="F76" t="str">
        <f t="shared" ca="1" si="7"/>
        <v>本科</v>
      </c>
      <c r="G76" t="str" cm="1">
        <f t="array" aca="1" ref="G76" ca="1">INDIRECT("w"&amp;RANDBETWEEN(2,1431))</f>
        <v>青岛滨海学院</v>
      </c>
      <c r="H76" t="str" cm="1">
        <f t="array" aca="1" ref="H76" ca="1">IF(F76="本科",INDIRECT("y"&amp;RANDBETWEEN(3,12)),INDIRECT("z"&amp;RANDBETWEEN(3,11)))</f>
        <v>应用统计学</v>
      </c>
      <c r="I76" t="str">
        <f t="shared" ca="1" si="8"/>
        <v>数据分析</v>
      </c>
      <c r="J76" t="str" cm="1">
        <f t="array" aca="1" ref="J76" ca="1">_xlfn.IFS(I76=$O$3,INDIRECT("ac"&amp;RANDBETWEEN(2,7)),I76=$O$2,INDIRECT("ad"&amp;RANDBETWEEN(2,10)),I76=$O$4,INDIRECT("ab"&amp;RANDBETWEEN(2,35)),I76=$O$5,INDIRECT("ae"&amp;RANDBETWEEN(2,7)),I76=$O$6,INDIRECT("af"&amp;RANDBETWEEN(2,7)),I76=$O$7,INDIRECT("ab"&amp;RANDBETWEEN(2,35)))</f>
        <v>Python,Excel</v>
      </c>
      <c r="K76">
        <f ca="1">IF(F76="本科",2021-T76-22,2021-T76-21)</f>
        <v>4</v>
      </c>
      <c r="T76">
        <f t="shared" ca="1" si="9"/>
        <v>1995</v>
      </c>
      <c r="U76">
        <f t="shared" ca="1" si="10"/>
        <v>8</v>
      </c>
      <c r="V76">
        <f t="shared" ca="1" si="11"/>
        <v>7</v>
      </c>
      <c r="W76" t="s">
        <v>221</v>
      </c>
      <c r="X76" t="s">
        <v>675</v>
      </c>
    </row>
    <row r="77" spans="1:24" x14ac:dyDescent="0.2">
      <c r="A77" t="s">
        <v>107</v>
      </c>
      <c r="B77" t="str" cm="1">
        <f t="array" aca="1" ref="B77" ca="1">INDIRECT("r"&amp;RANDBETWEEN(2,3))</f>
        <v>女</v>
      </c>
      <c r="C77" t="str" cm="1">
        <f t="array" aca="1" ref="C77" ca="1">INDIRECT("s"&amp;RANDBETWEEN(2,19))</f>
        <v>吉林省</v>
      </c>
      <c r="D77" t="s">
        <v>161</v>
      </c>
      <c r="E77" t="str">
        <f t="shared" ca="1" si="6"/>
        <v>1998-11-20</v>
      </c>
      <c r="F77" t="str">
        <f t="shared" ca="1" si="7"/>
        <v>高职专科</v>
      </c>
      <c r="G77" t="str" cm="1">
        <f t="array" aca="1" ref="G77" ca="1">INDIRECT("w"&amp;RANDBETWEEN(2,1431))</f>
        <v>吉林电子信息</v>
      </c>
      <c r="H77" t="str" cm="1">
        <f t="array" aca="1" ref="H77" ca="1">IF(F77="本科",INDIRECT("y"&amp;RANDBETWEEN(3,12)),INDIRECT("z"&amp;RANDBETWEEN(3,11)))</f>
        <v>电子商务</v>
      </c>
      <c r="I77" t="str">
        <f t="shared" ca="1" si="8"/>
        <v>电子商务运营</v>
      </c>
      <c r="J77" t="str" cm="1">
        <f t="array" aca="1" ref="J77" ca="1">_xlfn.IFS(I77=$O$3,INDIRECT("ac"&amp;RANDBETWEEN(2,7)),I77=$O$2,INDIRECT("ad"&amp;RANDBETWEEN(2,10)),I77=$O$4,INDIRECT("ab"&amp;RANDBETWEEN(2,35)),I77=$O$5,INDIRECT("ae"&amp;RANDBETWEEN(2,7)),I77=$O$6,INDIRECT("af"&amp;RANDBETWEEN(2,7)),I77=$O$7,INDIRECT("ab"&amp;RANDBETWEEN(2,35)))</f>
        <v>数据分析，直播电商，电商活动运营</v>
      </c>
      <c r="K77">
        <f ca="1">IF(F77="本科",2021-T77-22,2021-T77-21)</f>
        <v>2</v>
      </c>
      <c r="T77">
        <f t="shared" ca="1" si="9"/>
        <v>1998</v>
      </c>
      <c r="U77">
        <f t="shared" ca="1" si="10"/>
        <v>11</v>
      </c>
      <c r="V77">
        <f t="shared" ca="1" si="11"/>
        <v>20</v>
      </c>
      <c r="W77" t="s">
        <v>222</v>
      </c>
      <c r="X77" t="s">
        <v>675</v>
      </c>
    </row>
    <row r="78" spans="1:24" x14ac:dyDescent="0.2">
      <c r="A78" t="s">
        <v>108</v>
      </c>
      <c r="B78" t="str" cm="1">
        <f t="array" aca="1" ref="B78" ca="1">INDIRECT("r"&amp;RANDBETWEEN(2,3))</f>
        <v>女</v>
      </c>
      <c r="C78" t="str" cm="1">
        <f t="array" aca="1" ref="C78" ca="1">INDIRECT("s"&amp;RANDBETWEEN(2,19))</f>
        <v>河北省</v>
      </c>
      <c r="D78" t="s">
        <v>161</v>
      </c>
      <c r="E78" t="str">
        <f t="shared" ca="1" si="6"/>
        <v>1987-5-10</v>
      </c>
      <c r="F78" t="str">
        <f t="shared" ca="1" si="7"/>
        <v>本科</v>
      </c>
      <c r="G78" t="str" cm="1">
        <f t="array" aca="1" ref="G78" ca="1">INDIRECT("w"&amp;RANDBETWEEN(2,1431))</f>
        <v>三明学院</v>
      </c>
      <c r="H78" t="str" cm="1">
        <f t="array" aca="1" ref="H78" ca="1">IF(F78="本科",INDIRECT("y"&amp;RANDBETWEEN(3,12)),INDIRECT("z"&amp;RANDBETWEEN(3,11)))</f>
        <v>电子与计算机工程</v>
      </c>
      <c r="I78" t="str">
        <f t="shared" ca="1" si="8"/>
        <v>软件开发</v>
      </c>
      <c r="J78" t="str" cm="1">
        <f t="array" aca="1" ref="J78" ca="1">_xlfn.IFS(I78=$O$3,INDIRECT("ac"&amp;RANDBETWEEN(2,7)),I78=$O$2,INDIRECT("ad"&amp;RANDBETWEEN(2,10)),I78=$O$4,INDIRECT("ab"&amp;RANDBETWEEN(2,35)),I78=$O$5,INDIRECT("ae"&amp;RANDBETWEEN(2,7)),I78=$O$6,INDIRECT("af"&amp;RANDBETWEEN(2,7)),I78=$O$7,INDIRECT("ab"&amp;RANDBETWEEN(2,35)))</f>
        <v>sql,.net,Spring</v>
      </c>
      <c r="K78">
        <f ca="1">IF(F78="本科",2021-T78-22,2021-T78-21)</f>
        <v>12</v>
      </c>
      <c r="T78">
        <f t="shared" ca="1" si="9"/>
        <v>1987</v>
      </c>
      <c r="U78">
        <f t="shared" ca="1" si="10"/>
        <v>5</v>
      </c>
      <c r="V78">
        <f t="shared" ca="1" si="11"/>
        <v>10</v>
      </c>
      <c r="W78" t="s">
        <v>223</v>
      </c>
      <c r="X78" t="s">
        <v>675</v>
      </c>
    </row>
    <row r="79" spans="1:24" x14ac:dyDescent="0.2">
      <c r="A79" t="s">
        <v>109</v>
      </c>
      <c r="B79" t="str" cm="1">
        <f t="array" aca="1" ref="B79" ca="1">INDIRECT("r"&amp;RANDBETWEEN(2,3))</f>
        <v>男</v>
      </c>
      <c r="C79" t="str" cm="1">
        <f t="array" aca="1" ref="C79" ca="1">INDIRECT("s"&amp;RANDBETWEEN(2,19))</f>
        <v>河南省</v>
      </c>
      <c r="D79" t="s">
        <v>161</v>
      </c>
      <c r="E79" t="str">
        <f t="shared" ca="1" si="6"/>
        <v>1990-3-3</v>
      </c>
      <c r="F79" t="str">
        <f t="shared" ca="1" si="7"/>
        <v>本科</v>
      </c>
      <c r="G79" t="str" cm="1">
        <f t="array" aca="1" ref="G79" ca="1">INDIRECT("w"&amp;RANDBETWEEN(2,1431))</f>
        <v>沈阳理工大学</v>
      </c>
      <c r="H79" t="str" cm="1">
        <f t="array" aca="1" ref="H79" ca="1">IF(F79="本科",INDIRECT("y"&amp;RANDBETWEEN(3,12)),INDIRECT("z"&amp;RANDBETWEEN(3,11)))</f>
        <v>数据计算及应用</v>
      </c>
      <c r="I79" t="str">
        <f t="shared" ca="1" si="8"/>
        <v>数据分析</v>
      </c>
      <c r="J79" t="str" cm="1">
        <f t="array" aca="1" ref="J79" ca="1">_xlfn.IFS(I79=$O$3,INDIRECT("ac"&amp;RANDBETWEEN(2,7)),I79=$O$2,INDIRECT("ad"&amp;RANDBETWEEN(2,10)),I79=$O$4,INDIRECT("ab"&amp;RANDBETWEEN(2,35)),I79=$O$5,INDIRECT("ae"&amp;RANDBETWEEN(2,7)),I79=$O$6,INDIRECT("af"&amp;RANDBETWEEN(2,7)),I79=$O$7,INDIRECT("ab"&amp;RANDBETWEEN(2,35)))</f>
        <v>Excel,Hive,Python</v>
      </c>
      <c r="K79">
        <f ca="1">IF(F79="本科",2021-T79-22,2021-T79-21)</f>
        <v>9</v>
      </c>
      <c r="T79">
        <f t="shared" ca="1" si="9"/>
        <v>1990</v>
      </c>
      <c r="U79">
        <f t="shared" ca="1" si="10"/>
        <v>3</v>
      </c>
      <c r="V79">
        <f t="shared" ca="1" si="11"/>
        <v>3</v>
      </c>
      <c r="W79" t="s">
        <v>224</v>
      </c>
      <c r="X79" t="s">
        <v>675</v>
      </c>
    </row>
    <row r="80" spans="1:24" x14ac:dyDescent="0.2">
      <c r="A80" t="s">
        <v>110</v>
      </c>
      <c r="B80" t="str" cm="1">
        <f t="array" aca="1" ref="B80" ca="1">INDIRECT("r"&amp;RANDBETWEEN(2,3))</f>
        <v>男</v>
      </c>
      <c r="C80" t="str" cm="1">
        <f t="array" aca="1" ref="C80" ca="1">INDIRECT("s"&amp;RANDBETWEEN(2,19))</f>
        <v>贵州省</v>
      </c>
      <c r="D80" t="s">
        <v>161</v>
      </c>
      <c r="E80" t="str">
        <f t="shared" ca="1" si="6"/>
        <v>1993-11-12</v>
      </c>
      <c r="F80" t="str">
        <f t="shared" ca="1" si="7"/>
        <v>本科</v>
      </c>
      <c r="G80" t="str" cm="1">
        <f t="array" aca="1" ref="G80" ca="1">INDIRECT("w"&amp;RANDBETWEEN(2,1431))</f>
        <v>湖北理工学院</v>
      </c>
      <c r="H80" t="str" cm="1">
        <f t="array" aca="1" ref="H80" ca="1">IF(F80="本科",INDIRECT("y"&amp;RANDBETWEEN(3,12)),INDIRECT("z"&amp;RANDBETWEEN(3,11)))</f>
        <v>统计学</v>
      </c>
      <c r="I80" t="str">
        <f t="shared" ca="1" si="8"/>
        <v>数据分析</v>
      </c>
      <c r="J80" t="str" cm="1">
        <f t="array" aca="1" ref="J80" ca="1">_xlfn.IFS(I80=$O$3,INDIRECT("ac"&amp;RANDBETWEEN(2,7)),I80=$O$2,INDIRECT("ad"&amp;RANDBETWEEN(2,10)),I80=$O$4,INDIRECT("ab"&amp;RANDBETWEEN(2,35)),I80=$O$5,INDIRECT("ae"&amp;RANDBETWEEN(2,7)),I80=$O$6,INDIRECT("af"&amp;RANDBETWEEN(2,7)),I80=$O$7,INDIRECT("ab"&amp;RANDBETWEEN(2,35)))</f>
        <v>SPSS,SAS</v>
      </c>
      <c r="K80">
        <f ca="1">IF(F80="本科",2021-T80-22,2021-T80-21)</f>
        <v>6</v>
      </c>
      <c r="T80">
        <f t="shared" ca="1" si="9"/>
        <v>1993</v>
      </c>
      <c r="U80">
        <f t="shared" ca="1" si="10"/>
        <v>11</v>
      </c>
      <c r="V80">
        <f t="shared" ca="1" si="11"/>
        <v>12</v>
      </c>
      <c r="W80" t="s">
        <v>225</v>
      </c>
      <c r="X80" t="s">
        <v>675</v>
      </c>
    </row>
    <row r="81" spans="1:24" x14ac:dyDescent="0.2">
      <c r="A81" t="s">
        <v>111</v>
      </c>
      <c r="B81" t="str" cm="1">
        <f t="array" aca="1" ref="B81" ca="1">INDIRECT("r"&amp;RANDBETWEEN(2,3))</f>
        <v>男</v>
      </c>
      <c r="C81" t="str" cm="1">
        <f t="array" aca="1" ref="C81" ca="1">INDIRECT("s"&amp;RANDBETWEEN(2,19))</f>
        <v>浙江省</v>
      </c>
      <c r="D81" t="s">
        <v>161</v>
      </c>
      <c r="E81" t="str">
        <f t="shared" ca="1" si="6"/>
        <v>1993-11-14</v>
      </c>
      <c r="F81" t="str">
        <f t="shared" ca="1" si="7"/>
        <v>本科</v>
      </c>
      <c r="G81" t="str" cm="1">
        <f t="array" aca="1" ref="G81" ca="1">INDIRECT("w"&amp;RANDBETWEEN(2,1431))</f>
        <v>泉州信息工程</v>
      </c>
      <c r="H81" t="str" cm="1">
        <f t="array" aca="1" ref="H81" ca="1">IF(F81="本科",INDIRECT("y"&amp;RANDBETWEEN(3,12)),INDIRECT("z"&amp;RANDBETWEEN(3,11)))</f>
        <v>数据科学与大数据技术</v>
      </c>
      <c r="I81" t="str">
        <f t="shared" ca="1" si="8"/>
        <v>数据分析</v>
      </c>
      <c r="J81" t="str" cm="1">
        <f t="array" aca="1" ref="J81" ca="1">_xlfn.IFS(I81=$O$3,INDIRECT("ac"&amp;RANDBETWEEN(2,7)),I81=$O$2,INDIRECT("ad"&amp;RANDBETWEEN(2,10)),I81=$O$4,INDIRECT("ab"&amp;RANDBETWEEN(2,35)),I81=$O$5,INDIRECT("ae"&amp;RANDBETWEEN(2,7)),I81=$O$6,INDIRECT("af"&amp;RANDBETWEEN(2,7)),I81=$O$7,INDIRECT("ab"&amp;RANDBETWEEN(2,35)))</f>
        <v>数据分析</v>
      </c>
      <c r="K81">
        <f ca="1">IF(F81="本科",2021-T81-22,2021-T81-21)</f>
        <v>6</v>
      </c>
      <c r="T81">
        <f t="shared" ca="1" si="9"/>
        <v>1993</v>
      </c>
      <c r="U81">
        <f t="shared" ca="1" si="10"/>
        <v>11</v>
      </c>
      <c r="V81">
        <f t="shared" ca="1" si="11"/>
        <v>14</v>
      </c>
      <c r="W81" t="s">
        <v>226</v>
      </c>
      <c r="X81" t="s">
        <v>675</v>
      </c>
    </row>
    <row r="82" spans="1:24" x14ac:dyDescent="0.2">
      <c r="A82" t="s">
        <v>112</v>
      </c>
      <c r="B82" t="str" cm="1">
        <f t="array" aca="1" ref="B82" ca="1">INDIRECT("r"&amp;RANDBETWEEN(2,3))</f>
        <v>男</v>
      </c>
      <c r="C82" t="str" cm="1">
        <f t="array" aca="1" ref="C82" ca="1">INDIRECT("s"&amp;RANDBETWEEN(2,19))</f>
        <v>山东省</v>
      </c>
      <c r="D82" t="s">
        <v>161</v>
      </c>
      <c r="E82" t="str">
        <f t="shared" ca="1" si="6"/>
        <v>1991-12-29</v>
      </c>
      <c r="F82" t="str">
        <f t="shared" ca="1" si="7"/>
        <v>高职专科</v>
      </c>
      <c r="G82" t="str" cm="1">
        <f t="array" aca="1" ref="G82" ca="1">INDIRECT("w"&amp;RANDBETWEEN(2,1431))</f>
        <v>包头轻工职业</v>
      </c>
      <c r="H82" t="str" cm="1">
        <f t="array" aca="1" ref="H82" ca="1">IF(F82="本科",INDIRECT("y"&amp;RANDBETWEEN(3,12)),INDIRECT("z"&amp;RANDBETWEEN(3,11)))</f>
        <v>商务数据分析与应用</v>
      </c>
      <c r="I82" t="str">
        <f t="shared" ca="1" si="8"/>
        <v>电子商务数据分析</v>
      </c>
      <c r="J82" t="str" cm="1">
        <f t="array" aca="1" ref="J82" ca="1">_xlfn.IFS(I82=$O$3,INDIRECT("ac"&amp;RANDBETWEEN(2,7)),I82=$O$2,INDIRECT("ad"&amp;RANDBETWEEN(2,10)),I82=$O$4,INDIRECT("ab"&amp;RANDBETWEEN(2,35)),I82=$O$5,INDIRECT("ae"&amp;RANDBETWEEN(2,7)),I82=$O$6,INDIRECT("af"&amp;RANDBETWEEN(2,7)),I82=$O$7,INDIRECT("ab"&amp;RANDBETWEEN(2,35)))</f>
        <v>Excel,SQL</v>
      </c>
      <c r="K82">
        <f ca="1">IF(F82="本科",2021-T82-22,2021-T82-21)</f>
        <v>9</v>
      </c>
      <c r="T82">
        <f t="shared" ca="1" si="9"/>
        <v>1991</v>
      </c>
      <c r="U82">
        <f t="shared" ca="1" si="10"/>
        <v>12</v>
      </c>
      <c r="V82">
        <f t="shared" ca="1" si="11"/>
        <v>29</v>
      </c>
      <c r="W82" t="s">
        <v>227</v>
      </c>
      <c r="X82" t="s">
        <v>675</v>
      </c>
    </row>
    <row r="83" spans="1:24" x14ac:dyDescent="0.2">
      <c r="A83" t="s">
        <v>113</v>
      </c>
      <c r="B83" t="str" cm="1">
        <f t="array" aca="1" ref="B83" ca="1">INDIRECT("r"&amp;RANDBETWEEN(2,3))</f>
        <v>女</v>
      </c>
      <c r="C83" t="str" cm="1">
        <f t="array" aca="1" ref="C83" ca="1">INDIRECT("s"&amp;RANDBETWEEN(2,19))</f>
        <v>福建省</v>
      </c>
      <c r="D83" t="s">
        <v>161</v>
      </c>
      <c r="E83" t="str">
        <f t="shared" ca="1" si="6"/>
        <v>1997-2-18</v>
      </c>
      <c r="F83" t="str">
        <f t="shared" ca="1" si="7"/>
        <v>高职专科</v>
      </c>
      <c r="G83" t="str" cm="1">
        <f t="array" aca="1" ref="G83" ca="1">INDIRECT("w"&amp;RANDBETWEEN(2,1431))</f>
        <v>内蒙古民族高</v>
      </c>
      <c r="H83" t="str" cm="1">
        <f t="array" aca="1" ref="H83" ca="1">IF(F83="本科",INDIRECT("y"&amp;RANDBETWEEN(3,12)),INDIRECT("z"&amp;RANDBETWEEN(3,11)))</f>
        <v>统计与大数据分析</v>
      </c>
      <c r="I83" t="str">
        <f t="shared" ca="1" si="8"/>
        <v>数据分析</v>
      </c>
      <c r="J83" t="str" cm="1">
        <f t="array" aca="1" ref="J83" ca="1">_xlfn.IFS(I83=$O$3,INDIRECT("ac"&amp;RANDBETWEEN(2,7)),I83=$O$2,INDIRECT("ad"&amp;RANDBETWEEN(2,10)),I83=$O$4,INDIRECT("ab"&amp;RANDBETWEEN(2,35)),I83=$O$5,INDIRECT("ae"&amp;RANDBETWEEN(2,7)),I83=$O$6,INDIRECT("af"&amp;RANDBETWEEN(2,7)),I83=$O$7,INDIRECT("ab"&amp;RANDBETWEEN(2,35)))</f>
        <v>AXURE,word、PPT,PD、EA,BI</v>
      </c>
      <c r="K83">
        <f ca="1">IF(F83="本科",2021-T83-22,2021-T83-21)</f>
        <v>3</v>
      </c>
      <c r="T83">
        <f t="shared" ca="1" si="9"/>
        <v>1997</v>
      </c>
      <c r="U83">
        <f t="shared" ca="1" si="10"/>
        <v>2</v>
      </c>
      <c r="V83">
        <f t="shared" ca="1" si="11"/>
        <v>18</v>
      </c>
      <c r="W83" t="s">
        <v>228</v>
      </c>
      <c r="X83" t="s">
        <v>675</v>
      </c>
    </row>
    <row r="84" spans="1:24" x14ac:dyDescent="0.2">
      <c r="A84" t="s">
        <v>114</v>
      </c>
      <c r="B84" t="str" cm="1">
        <f t="array" aca="1" ref="B84" ca="1">INDIRECT("r"&amp;RANDBETWEEN(2,3))</f>
        <v>女</v>
      </c>
      <c r="C84" t="str" cm="1">
        <f t="array" aca="1" ref="C84" ca="1">INDIRECT("s"&amp;RANDBETWEEN(2,19))</f>
        <v>山东省</v>
      </c>
      <c r="D84" t="s">
        <v>161</v>
      </c>
      <c r="E84" t="str">
        <f t="shared" ca="1" si="6"/>
        <v>1992-3-29</v>
      </c>
      <c r="F84" t="str">
        <f t="shared" ca="1" si="7"/>
        <v>本科</v>
      </c>
      <c r="G84" t="str" cm="1">
        <f t="array" aca="1" ref="G84" ca="1">INDIRECT("w"&amp;RANDBETWEEN(2,1431))</f>
        <v>辽宁工业大学</v>
      </c>
      <c r="H84" t="str" cm="1">
        <f t="array" aca="1" ref="H84" ca="1">IF(F84="本科",INDIRECT("y"&amp;RANDBETWEEN(3,12)),INDIRECT("z"&amp;RANDBETWEEN(3,11)))</f>
        <v>新媒体技术</v>
      </c>
      <c r="I84" t="str">
        <f t="shared" ca="1" si="8"/>
        <v>新媒体运营</v>
      </c>
      <c r="J84" t="str" cm="1">
        <f t="array" aca="1" ref="J84" ca="1">_xlfn.IFS(I84=$O$3,INDIRECT("ac"&amp;RANDBETWEEN(2,7)),I84=$O$2,INDIRECT("ad"&amp;RANDBETWEEN(2,10)),I84=$O$4,INDIRECT("ab"&amp;RANDBETWEEN(2,35)),I84=$O$5,INDIRECT("ae"&amp;RANDBETWEEN(2,7)),I84=$O$6,INDIRECT("af"&amp;RANDBETWEEN(2,7)),I84=$O$7,INDIRECT("ab"&amp;RANDBETWEEN(2,35)))</f>
        <v>公众号/朋友圈运营,社群运营</v>
      </c>
      <c r="K84">
        <f ca="1">IF(F84="本科",2021-T84-22,2021-T84-21)</f>
        <v>7</v>
      </c>
      <c r="T84">
        <f t="shared" ca="1" si="9"/>
        <v>1992</v>
      </c>
      <c r="U84">
        <f t="shared" ca="1" si="10"/>
        <v>3</v>
      </c>
      <c r="V84">
        <f t="shared" ca="1" si="11"/>
        <v>29</v>
      </c>
      <c r="W84" t="s">
        <v>229</v>
      </c>
      <c r="X84" t="s">
        <v>675</v>
      </c>
    </row>
    <row r="85" spans="1:24" x14ac:dyDescent="0.2">
      <c r="A85" t="s">
        <v>115</v>
      </c>
      <c r="B85" t="str" cm="1">
        <f t="array" aca="1" ref="B85" ca="1">INDIRECT("r"&amp;RANDBETWEEN(2,3))</f>
        <v>女</v>
      </c>
      <c r="C85" t="str" cm="1">
        <f t="array" aca="1" ref="C85" ca="1">INDIRECT("s"&amp;RANDBETWEEN(2,19))</f>
        <v>安徽省</v>
      </c>
      <c r="D85" t="s">
        <v>161</v>
      </c>
      <c r="E85" t="str">
        <f t="shared" ca="1" si="6"/>
        <v>1998-8-26</v>
      </c>
      <c r="F85" t="str">
        <f t="shared" ca="1" si="7"/>
        <v>本科</v>
      </c>
      <c r="G85" t="str" cm="1">
        <f t="array" aca="1" ref="G85" ca="1">INDIRECT("w"&amp;RANDBETWEEN(2,1431))</f>
        <v>上海电机学院</v>
      </c>
      <c r="H85" t="str" cm="1">
        <f t="array" aca="1" ref="H85" ca="1">IF(F85="本科",INDIRECT("y"&amp;RANDBETWEEN(3,12)),INDIRECT("z"&amp;RANDBETWEEN(3,11)))</f>
        <v>数学与应用数学</v>
      </c>
      <c r="I85" t="str">
        <f t="shared" ca="1" si="8"/>
        <v>数据分析</v>
      </c>
      <c r="J85" t="str" cm="1">
        <f t="array" aca="1" ref="J85" ca="1">_xlfn.IFS(I85=$O$3,INDIRECT("ac"&amp;RANDBETWEEN(2,7)),I85=$O$2,INDIRECT("ad"&amp;RANDBETWEEN(2,10)),I85=$O$4,INDIRECT("ab"&amp;RANDBETWEEN(2,35)),I85=$O$5,INDIRECT("ae"&amp;RANDBETWEEN(2,7)),I85=$O$6,INDIRECT("af"&amp;RANDBETWEEN(2,7)),I85=$O$7,INDIRECT("ab"&amp;RANDBETWEEN(2,35)))</f>
        <v>Excel,Matlab,Hadoop,Python,Spark,NumPy,Pandas,Charles</v>
      </c>
      <c r="K85">
        <f ca="1">IF(F85="本科",2021-T85-22,2021-T85-21)</f>
        <v>1</v>
      </c>
      <c r="T85">
        <f t="shared" ca="1" si="9"/>
        <v>1998</v>
      </c>
      <c r="U85">
        <f t="shared" ca="1" si="10"/>
        <v>8</v>
      </c>
      <c r="V85">
        <f t="shared" ca="1" si="11"/>
        <v>26</v>
      </c>
      <c r="W85" t="s">
        <v>230</v>
      </c>
      <c r="X85" t="s">
        <v>675</v>
      </c>
    </row>
    <row r="86" spans="1:24" x14ac:dyDescent="0.2">
      <c r="A86" t="s">
        <v>116</v>
      </c>
      <c r="B86" t="str" cm="1">
        <f t="array" aca="1" ref="B86" ca="1">INDIRECT("r"&amp;RANDBETWEEN(2,3))</f>
        <v>女</v>
      </c>
      <c r="C86" t="str" cm="1">
        <f t="array" aca="1" ref="C86" ca="1">INDIRECT("s"&amp;RANDBETWEEN(2,19))</f>
        <v>湖南省</v>
      </c>
      <c r="D86" t="s">
        <v>161</v>
      </c>
      <c r="E86" t="str">
        <f t="shared" ca="1" si="6"/>
        <v>1988-11-1</v>
      </c>
      <c r="F86" t="str">
        <f t="shared" ca="1" si="7"/>
        <v>高职专科</v>
      </c>
      <c r="G86" t="str" cm="1">
        <f t="array" aca="1" ref="G86" ca="1">INDIRECT("w"&amp;RANDBETWEEN(2,1431))</f>
        <v>辽阳职业技术</v>
      </c>
      <c r="H86" t="str" cm="1">
        <f t="array" aca="1" ref="H86" ca="1">IF(F86="本科",INDIRECT("y"&amp;RANDBETWEEN(3,12)),INDIRECT("z"&amp;RANDBETWEEN(3,11)))</f>
        <v>移动商务</v>
      </c>
      <c r="I86" t="str">
        <f t="shared" ca="1" si="8"/>
        <v>电子商务运营</v>
      </c>
      <c r="J86" t="str" cm="1">
        <f t="array" aca="1" ref="J86" ca="1">_xlfn.IFS(I86=$O$3,INDIRECT("ac"&amp;RANDBETWEEN(2,7)),I86=$O$2,INDIRECT("ad"&amp;RANDBETWEEN(2,10)),I86=$O$4,INDIRECT("ab"&amp;RANDBETWEEN(2,35)),I86=$O$5,INDIRECT("ae"&amp;RANDBETWEEN(2,7)),I86=$O$6,INDIRECT("af"&amp;RANDBETWEEN(2,7)),I86=$O$7,INDIRECT("ab"&amp;RANDBETWEEN(2,35)))</f>
        <v>C端用户运营，店铺运营</v>
      </c>
      <c r="K86">
        <f ca="1">IF(F86="本科",2021-T86-22,2021-T86-21)</f>
        <v>12</v>
      </c>
      <c r="T86">
        <f t="shared" ca="1" si="9"/>
        <v>1988</v>
      </c>
      <c r="U86">
        <f t="shared" ca="1" si="10"/>
        <v>11</v>
      </c>
      <c r="V86">
        <f t="shared" ca="1" si="11"/>
        <v>1</v>
      </c>
      <c r="W86" t="s">
        <v>231</v>
      </c>
      <c r="X86" t="s">
        <v>675</v>
      </c>
    </row>
    <row r="87" spans="1:24" x14ac:dyDescent="0.2">
      <c r="A87" t="s">
        <v>117</v>
      </c>
      <c r="B87" t="str" cm="1">
        <f t="array" aca="1" ref="B87" ca="1">INDIRECT("r"&amp;RANDBETWEEN(2,3))</f>
        <v>男</v>
      </c>
      <c r="C87" t="str" cm="1">
        <f t="array" aca="1" ref="C87" ca="1">INDIRECT("s"&amp;RANDBETWEEN(2,19))</f>
        <v>吉林省</v>
      </c>
      <c r="D87" t="s">
        <v>161</v>
      </c>
      <c r="E87" t="str">
        <f t="shared" ca="1" si="6"/>
        <v>1991-6-6</v>
      </c>
      <c r="F87" t="str">
        <f t="shared" ca="1" si="7"/>
        <v>本科</v>
      </c>
      <c r="G87" t="str" cm="1">
        <f t="array" aca="1" ref="G87" ca="1">INDIRECT("w"&amp;RANDBETWEEN(2,1431))</f>
        <v>西安交通大学</v>
      </c>
      <c r="H87" t="str" cm="1">
        <f t="array" aca="1" ref="H87" ca="1">IF(F87="本科",INDIRECT("y"&amp;RANDBETWEEN(3,12)),INDIRECT("z"&amp;RANDBETWEEN(3,11)))</f>
        <v>信息与计算科学</v>
      </c>
      <c r="I87" t="str">
        <f t="shared" ca="1" si="8"/>
        <v>数据分析</v>
      </c>
      <c r="J87" t="str" cm="1">
        <f t="array" aca="1" ref="J87" ca="1">_xlfn.IFS(I87=$O$3,INDIRECT("ac"&amp;RANDBETWEEN(2,7)),I87=$O$2,INDIRECT("ad"&amp;RANDBETWEEN(2,10)),I87=$O$4,INDIRECT("ab"&amp;RANDBETWEEN(2,35)),I87=$O$5,INDIRECT("ae"&amp;RANDBETWEEN(2,7)),I87=$O$6,INDIRECT("af"&amp;RANDBETWEEN(2,7)),I87=$O$7,INDIRECT("ab"&amp;RANDBETWEEN(2,35)))</f>
        <v>Python,SQL,数据挖掘,数据分析</v>
      </c>
      <c r="K87">
        <f ca="1">IF(F87="本科",2021-T87-22,2021-T87-21)</f>
        <v>8</v>
      </c>
      <c r="T87">
        <f t="shared" ca="1" si="9"/>
        <v>1991</v>
      </c>
      <c r="U87">
        <f t="shared" ca="1" si="10"/>
        <v>6</v>
      </c>
      <c r="V87">
        <f t="shared" ca="1" si="11"/>
        <v>6</v>
      </c>
      <c r="W87" t="s">
        <v>232</v>
      </c>
      <c r="X87" t="s">
        <v>675</v>
      </c>
    </row>
    <row r="88" spans="1:24" x14ac:dyDescent="0.2">
      <c r="A88" t="s">
        <v>118</v>
      </c>
      <c r="B88" t="str" cm="1">
        <f t="array" aca="1" ref="B88" ca="1">INDIRECT("r"&amp;RANDBETWEEN(2,3))</f>
        <v>男</v>
      </c>
      <c r="C88" t="str" cm="1">
        <f t="array" aca="1" ref="C88" ca="1">INDIRECT("s"&amp;RANDBETWEEN(2,19))</f>
        <v>河南省</v>
      </c>
      <c r="D88" t="s">
        <v>161</v>
      </c>
      <c r="E88" t="str">
        <f t="shared" ca="1" si="6"/>
        <v>1989-9-26</v>
      </c>
      <c r="F88" t="str">
        <f t="shared" ca="1" si="7"/>
        <v>本科</v>
      </c>
      <c r="G88" t="str" cm="1">
        <f t="array" aca="1" ref="G88" ca="1">INDIRECT("w"&amp;RANDBETWEEN(2,1431))</f>
        <v>西南大学(荣</v>
      </c>
      <c r="H88" t="str" cm="1">
        <f t="array" aca="1" ref="H88" ca="1">IF(F88="本科",INDIRECT("y"&amp;RANDBETWEEN(3,12)),INDIRECT("z"&amp;RANDBETWEEN(3,11)))</f>
        <v>电子与计算机工程</v>
      </c>
      <c r="I88" t="str">
        <f t="shared" ca="1" si="8"/>
        <v>软件开发</v>
      </c>
      <c r="J88" t="str" cm="1">
        <f t="array" aca="1" ref="J88" ca="1">_xlfn.IFS(I88=$O$3,INDIRECT("ac"&amp;RANDBETWEEN(2,7)),I88=$O$2,INDIRECT("ad"&amp;RANDBETWEEN(2,10)),I88=$O$4,INDIRECT("ab"&amp;RANDBETWEEN(2,35)),I88=$O$5,INDIRECT("ae"&amp;RANDBETWEEN(2,7)),I88=$O$6,INDIRECT("af"&amp;RANDBETWEEN(2,7)),I88=$O$7,INDIRECT("ab"&amp;RANDBETWEEN(2,35)))</f>
        <v>python,go</v>
      </c>
      <c r="K88">
        <f ca="1">IF(F88="本科",2021-T88-22,2021-T88-21)</f>
        <v>10</v>
      </c>
      <c r="T88">
        <f t="shared" ca="1" si="9"/>
        <v>1989</v>
      </c>
      <c r="U88">
        <f t="shared" ca="1" si="10"/>
        <v>9</v>
      </c>
      <c r="V88">
        <f t="shared" ca="1" si="11"/>
        <v>26</v>
      </c>
      <c r="W88" t="s">
        <v>233</v>
      </c>
      <c r="X88" t="s">
        <v>675</v>
      </c>
    </row>
    <row r="89" spans="1:24" x14ac:dyDescent="0.2">
      <c r="A89" t="s">
        <v>119</v>
      </c>
      <c r="B89" t="str" cm="1">
        <f t="array" aca="1" ref="B89" ca="1">INDIRECT("r"&amp;RANDBETWEEN(2,3))</f>
        <v>女</v>
      </c>
      <c r="C89" t="str" cm="1">
        <f t="array" aca="1" ref="C89" ca="1">INDIRECT("s"&amp;RANDBETWEEN(2,19))</f>
        <v>湖南省</v>
      </c>
      <c r="D89" t="s">
        <v>161</v>
      </c>
      <c r="E89" t="str">
        <f t="shared" ca="1" si="6"/>
        <v>1988-5-18</v>
      </c>
      <c r="F89" t="str">
        <f t="shared" ca="1" si="7"/>
        <v>本科</v>
      </c>
      <c r="G89" t="str" cm="1">
        <f t="array" aca="1" ref="G89" ca="1">INDIRECT("w"&amp;RANDBETWEEN(2,1431))</f>
        <v>吉林化工学院</v>
      </c>
      <c r="H89" t="str" cm="1">
        <f t="array" aca="1" ref="H89" ca="1">IF(F89="本科",INDIRECT("y"&amp;RANDBETWEEN(3,12)),INDIRECT("z"&amp;RANDBETWEEN(3,11)))</f>
        <v>软件工程</v>
      </c>
      <c r="I89" t="str">
        <f t="shared" ca="1" si="8"/>
        <v>软件开发</v>
      </c>
      <c r="J89" t="str" cm="1">
        <f t="array" aca="1" ref="J89" ca="1">_xlfn.IFS(I89=$O$3,INDIRECT("ac"&amp;RANDBETWEEN(2,7)),I89=$O$2,INDIRECT("ad"&amp;RANDBETWEEN(2,10)),I89=$O$4,INDIRECT("ab"&amp;RANDBETWEEN(2,35)),I89=$O$5,INDIRECT("ae"&amp;RANDBETWEEN(2,7)),I89=$O$6,INDIRECT("af"&amp;RANDBETWEEN(2,7)),I89=$O$7,INDIRECT("ab"&amp;RANDBETWEEN(2,35)))</f>
        <v>HTML,CSS</v>
      </c>
      <c r="K89">
        <f ca="1">IF(F89="本科",2021-T89-22,2021-T89-21)</f>
        <v>11</v>
      </c>
      <c r="T89">
        <f t="shared" ca="1" si="9"/>
        <v>1988</v>
      </c>
      <c r="U89">
        <f t="shared" ca="1" si="10"/>
        <v>5</v>
      </c>
      <c r="V89">
        <f t="shared" ca="1" si="11"/>
        <v>18</v>
      </c>
      <c r="W89" t="s">
        <v>234</v>
      </c>
      <c r="X89" t="s">
        <v>675</v>
      </c>
    </row>
    <row r="90" spans="1:24" x14ac:dyDescent="0.2">
      <c r="A90" t="s">
        <v>120</v>
      </c>
      <c r="B90" t="str" cm="1">
        <f t="array" aca="1" ref="B90" ca="1">INDIRECT("r"&amp;RANDBETWEEN(2,3))</f>
        <v>女</v>
      </c>
      <c r="C90" t="str" cm="1">
        <f t="array" aca="1" ref="C90" ca="1">INDIRECT("s"&amp;RANDBETWEEN(2,19))</f>
        <v>广东省</v>
      </c>
      <c r="D90" t="s">
        <v>161</v>
      </c>
      <c r="E90" t="str">
        <f t="shared" ca="1" si="6"/>
        <v>1987-4-9</v>
      </c>
      <c r="F90" t="str">
        <f t="shared" ca="1" si="7"/>
        <v>本科</v>
      </c>
      <c r="G90" t="str" cm="1">
        <f t="array" aca="1" ref="G90" ca="1">INDIRECT("w"&amp;RANDBETWEEN(2,1431))</f>
        <v>淮阴工学院</v>
      </c>
      <c r="H90" t="str" cm="1">
        <f t="array" aca="1" ref="H90" ca="1">IF(F90="本科",INDIRECT("y"&amp;RANDBETWEEN(3,12)),INDIRECT("z"&amp;RANDBETWEEN(3,11)))</f>
        <v>信息与计算科学</v>
      </c>
      <c r="I90" t="str">
        <f t="shared" ca="1" si="8"/>
        <v>数据分析</v>
      </c>
      <c r="J90" t="str" cm="1">
        <f t="array" aca="1" ref="J90" ca="1">_xlfn.IFS(I90=$O$3,INDIRECT("ac"&amp;RANDBETWEEN(2,7)),I90=$O$2,INDIRECT("ad"&amp;RANDBETWEEN(2,10)),I90=$O$4,INDIRECT("ab"&amp;RANDBETWEEN(2,35)),I90=$O$5,INDIRECT("ae"&amp;RANDBETWEEN(2,7)),I90=$O$6,INDIRECT("af"&amp;RANDBETWEEN(2,7)),I90=$O$7,INDIRECT("ab"&amp;RANDBETWEEN(2,35)))</f>
        <v>Tableau</v>
      </c>
      <c r="K90">
        <f ca="1">IF(F90="本科",2021-T90-22,2021-T90-21)</f>
        <v>12</v>
      </c>
      <c r="T90">
        <f t="shared" ca="1" si="9"/>
        <v>1987</v>
      </c>
      <c r="U90">
        <f t="shared" ca="1" si="10"/>
        <v>4</v>
      </c>
      <c r="V90">
        <f t="shared" ca="1" si="11"/>
        <v>9</v>
      </c>
      <c r="W90" t="s">
        <v>235</v>
      </c>
      <c r="X90" t="s">
        <v>675</v>
      </c>
    </row>
    <row r="91" spans="1:24" x14ac:dyDescent="0.2">
      <c r="A91" t="s">
        <v>121</v>
      </c>
      <c r="B91" t="str" cm="1">
        <f t="array" aca="1" ref="B91" ca="1">INDIRECT("r"&amp;RANDBETWEEN(2,3))</f>
        <v>女</v>
      </c>
      <c r="C91" t="str" cm="1">
        <f t="array" aca="1" ref="C91" ca="1">INDIRECT("s"&amp;RANDBETWEEN(2,19))</f>
        <v>辽宁省</v>
      </c>
      <c r="D91" t="s">
        <v>161</v>
      </c>
      <c r="E91" t="str">
        <f t="shared" ca="1" si="6"/>
        <v>1990-3-7</v>
      </c>
      <c r="F91" t="str">
        <f t="shared" ca="1" si="7"/>
        <v>高职专科</v>
      </c>
      <c r="G91" t="str" cm="1">
        <f t="array" aca="1" ref="G91" ca="1">INDIRECT("w"&amp;RANDBETWEEN(2,1431))</f>
        <v>邕江大学</v>
      </c>
      <c r="H91" t="str" cm="1">
        <f t="array" aca="1" ref="H91" ca="1">IF(F91="本科",INDIRECT("y"&amp;RANDBETWEEN(3,12)),INDIRECT("z"&amp;RANDBETWEEN(3,11)))</f>
        <v>电子商务</v>
      </c>
      <c r="I91" t="str">
        <f t="shared" ca="1" si="8"/>
        <v>电子商务运营</v>
      </c>
      <c r="J91" t="str" cm="1">
        <f t="array" aca="1" ref="J91" ca="1">_xlfn.IFS(I91=$O$3,INDIRECT("ac"&amp;RANDBETWEEN(2,7)),I91=$O$2,INDIRECT("ad"&amp;RANDBETWEEN(2,10)),I91=$O$4,INDIRECT("ab"&amp;RANDBETWEEN(2,35)),I91=$O$5,INDIRECT("ae"&amp;RANDBETWEEN(2,7)),I91=$O$6,INDIRECT("af"&amp;RANDBETWEEN(2,7)),I91=$O$7,INDIRECT("ab"&amp;RANDBETWEEN(2,35)))</f>
        <v>跨境电商运营，店铺运营，平台商家运营</v>
      </c>
      <c r="K91">
        <f ca="1">IF(F91="本科",2021-T91-22,2021-T91-21)</f>
        <v>10</v>
      </c>
      <c r="T91">
        <f t="shared" ca="1" si="9"/>
        <v>1990</v>
      </c>
      <c r="U91">
        <f t="shared" ca="1" si="10"/>
        <v>3</v>
      </c>
      <c r="V91">
        <f t="shared" ca="1" si="11"/>
        <v>7</v>
      </c>
      <c r="W91" t="s">
        <v>179</v>
      </c>
      <c r="X91" t="s">
        <v>675</v>
      </c>
    </row>
    <row r="92" spans="1:24" x14ac:dyDescent="0.2">
      <c r="A92" t="s">
        <v>122</v>
      </c>
      <c r="B92" t="str" cm="1">
        <f t="array" aca="1" ref="B92" ca="1">INDIRECT("r"&amp;RANDBETWEEN(2,3))</f>
        <v>男</v>
      </c>
      <c r="C92" t="str" cm="1">
        <f t="array" aca="1" ref="C92" ca="1">INDIRECT("s"&amp;RANDBETWEEN(2,19))</f>
        <v>广东省</v>
      </c>
      <c r="D92" t="s">
        <v>161</v>
      </c>
      <c r="E92" t="str">
        <f t="shared" ca="1" si="6"/>
        <v>1990-4-7</v>
      </c>
      <c r="F92" t="str">
        <f t="shared" ca="1" si="7"/>
        <v>本科</v>
      </c>
      <c r="G92" t="str" cm="1">
        <f t="array" aca="1" ref="G92" ca="1">INDIRECT("w"&amp;RANDBETWEEN(2,1431))</f>
        <v>郑州科技学院</v>
      </c>
      <c r="H92" t="str" cm="1">
        <f t="array" aca="1" ref="H92" ca="1">IF(F92="本科",INDIRECT("y"&amp;RANDBETWEEN(3,12)),INDIRECT("z"&amp;RANDBETWEEN(3,11)))</f>
        <v>应用统计学</v>
      </c>
      <c r="I92" t="str">
        <f t="shared" ca="1" si="8"/>
        <v>数据分析</v>
      </c>
      <c r="J92" t="str" cm="1">
        <f t="array" aca="1" ref="J92" ca="1">_xlfn.IFS(I92=$O$3,INDIRECT("ac"&amp;RANDBETWEEN(2,7)),I92=$O$2,INDIRECT("ad"&amp;RANDBETWEEN(2,10)),I92=$O$4,INDIRECT("ab"&amp;RANDBETWEEN(2,35)),I92=$O$5,INDIRECT("ae"&amp;RANDBETWEEN(2,7)),I92=$O$6,INDIRECT("af"&amp;RANDBETWEEN(2,7)),I92=$O$7,INDIRECT("ab"&amp;RANDBETWEEN(2,35)))</f>
        <v>Excel,SQL</v>
      </c>
      <c r="K92">
        <f ca="1">IF(F92="本科",2021-T92-22,2021-T92-21)</f>
        <v>9</v>
      </c>
      <c r="T92">
        <f t="shared" ca="1" si="9"/>
        <v>1990</v>
      </c>
      <c r="U92">
        <f t="shared" ca="1" si="10"/>
        <v>4</v>
      </c>
      <c r="V92">
        <f t="shared" ca="1" si="11"/>
        <v>7</v>
      </c>
      <c r="W92" t="s">
        <v>236</v>
      </c>
      <c r="X92" t="s">
        <v>675</v>
      </c>
    </row>
    <row r="93" spans="1:24" x14ac:dyDescent="0.2">
      <c r="A93" t="s">
        <v>123</v>
      </c>
      <c r="B93" t="str" cm="1">
        <f t="array" aca="1" ref="B93" ca="1">INDIRECT("r"&amp;RANDBETWEEN(2,3))</f>
        <v>男</v>
      </c>
      <c r="C93" t="str" cm="1">
        <f t="array" aca="1" ref="C93" ca="1">INDIRECT("s"&amp;RANDBETWEEN(2,19))</f>
        <v>吉林省</v>
      </c>
      <c r="D93" t="s">
        <v>161</v>
      </c>
      <c r="E93" t="str">
        <f t="shared" ca="1" si="6"/>
        <v>1989-8-15</v>
      </c>
      <c r="F93" t="str">
        <f t="shared" ca="1" si="7"/>
        <v>高职专科</v>
      </c>
      <c r="G93" t="str" cm="1">
        <f t="array" aca="1" ref="G93" ca="1">INDIRECT("w"&amp;RANDBETWEEN(2,1431))</f>
        <v>内蒙古建筑职</v>
      </c>
      <c r="H93" t="str" cm="1">
        <f t="array" aca="1" ref="H93" ca="1">IF(F93="本科",INDIRECT("y"&amp;RANDBETWEEN(3,12)),INDIRECT("z"&amp;RANDBETWEEN(3,11)))</f>
        <v>移动商务</v>
      </c>
      <c r="I93" t="str">
        <f t="shared" ca="1" si="8"/>
        <v>电子商务运营</v>
      </c>
      <c r="J93" t="str" cm="1">
        <f t="array" aca="1" ref="J93" ca="1">_xlfn.IFS(I93=$O$3,INDIRECT("ac"&amp;RANDBETWEEN(2,7)),I93=$O$2,INDIRECT("ad"&amp;RANDBETWEEN(2,10)),I93=$O$4,INDIRECT("ab"&amp;RANDBETWEEN(2,35)),I93=$O$5,INDIRECT("ae"&amp;RANDBETWEEN(2,7)),I93=$O$6,INDIRECT("af"&amp;RANDBETWEEN(2,7)),I93=$O$7,INDIRECT("ab"&amp;RANDBETWEEN(2,35)))</f>
        <v>营销推广，竞品分析</v>
      </c>
      <c r="K93">
        <f ca="1">IF(F93="本科",2021-T93-22,2021-T93-21)</f>
        <v>11</v>
      </c>
      <c r="T93">
        <f t="shared" ca="1" si="9"/>
        <v>1989</v>
      </c>
      <c r="U93">
        <f t="shared" ca="1" si="10"/>
        <v>8</v>
      </c>
      <c r="V93">
        <f t="shared" ca="1" si="11"/>
        <v>15</v>
      </c>
      <c r="W93" t="s">
        <v>237</v>
      </c>
      <c r="X93" t="s">
        <v>675</v>
      </c>
    </row>
    <row r="94" spans="1:24" x14ac:dyDescent="0.2">
      <c r="A94" t="s">
        <v>124</v>
      </c>
      <c r="B94" t="str" cm="1">
        <f t="array" aca="1" ref="B94" ca="1">INDIRECT("r"&amp;RANDBETWEEN(2,3))</f>
        <v>男</v>
      </c>
      <c r="C94" t="str" cm="1">
        <f t="array" aca="1" ref="C94" ca="1">INDIRECT("s"&amp;RANDBETWEEN(2,19))</f>
        <v>云南省</v>
      </c>
      <c r="D94" t="s">
        <v>161</v>
      </c>
      <c r="E94" t="str">
        <f t="shared" ca="1" si="6"/>
        <v>1987-4-4</v>
      </c>
      <c r="F94" t="str">
        <f t="shared" ca="1" si="7"/>
        <v>高职专科</v>
      </c>
      <c r="G94" t="str" cm="1">
        <f t="array" aca="1" ref="G94" ca="1">INDIRECT("w"&amp;RANDBETWEEN(2,1431))</f>
        <v>北岳职业技术</v>
      </c>
      <c r="H94" t="str" cm="1">
        <f t="array" aca="1" ref="H94" ca="1">IF(F94="本科",INDIRECT("y"&amp;RANDBETWEEN(3,12)),INDIRECT("z"&amp;RANDBETWEEN(3,11)))</f>
        <v>电子商务</v>
      </c>
      <c r="I94" t="str">
        <f t="shared" ca="1" si="8"/>
        <v>电子商务运营</v>
      </c>
      <c r="J94" t="str" cm="1">
        <f t="array" aca="1" ref="J94" ca="1">_xlfn.IFS(I94=$O$3,INDIRECT("ac"&amp;RANDBETWEEN(2,7)),I94=$O$2,INDIRECT("ad"&amp;RANDBETWEEN(2,10)),I94=$O$4,INDIRECT("ab"&amp;RANDBETWEEN(2,35)),I94=$O$5,INDIRECT("ae"&amp;RANDBETWEEN(2,7)),I94=$O$6,INDIRECT("af"&amp;RANDBETWEEN(2,7)),I94=$O$7,INDIRECT("ab"&amp;RANDBETWEEN(2,35)))</f>
        <v>营销推广，竞品分析</v>
      </c>
      <c r="K94">
        <f ca="1">IF(F94="本科",2021-T94-22,2021-T94-21)</f>
        <v>13</v>
      </c>
      <c r="T94">
        <f t="shared" ca="1" si="9"/>
        <v>1987</v>
      </c>
      <c r="U94">
        <f t="shared" ca="1" si="10"/>
        <v>4</v>
      </c>
      <c r="V94">
        <f t="shared" ca="1" si="11"/>
        <v>4</v>
      </c>
      <c r="W94" t="s">
        <v>238</v>
      </c>
      <c r="X94" t="s">
        <v>675</v>
      </c>
    </row>
    <row r="95" spans="1:24" x14ac:dyDescent="0.2">
      <c r="A95" t="s">
        <v>125</v>
      </c>
      <c r="B95" t="str" cm="1">
        <f t="array" aca="1" ref="B95" ca="1">INDIRECT("r"&amp;RANDBETWEEN(2,3))</f>
        <v>女</v>
      </c>
      <c r="C95" t="str" cm="1">
        <f t="array" aca="1" ref="C95" ca="1">INDIRECT("s"&amp;RANDBETWEEN(2,19))</f>
        <v>山西省</v>
      </c>
      <c r="D95" t="s">
        <v>161</v>
      </c>
      <c r="E95" t="str">
        <f t="shared" ca="1" si="6"/>
        <v>1998-11-29</v>
      </c>
      <c r="F95" t="str">
        <f t="shared" ca="1" si="7"/>
        <v>本科</v>
      </c>
      <c r="G95" t="str" cm="1">
        <f t="array" aca="1" ref="G95" ca="1">INDIRECT("w"&amp;RANDBETWEEN(2,1431))</f>
        <v>洛阳理工学院</v>
      </c>
      <c r="H95" t="str" cm="1">
        <f t="array" aca="1" ref="H95" ca="1">IF(F95="本科",INDIRECT("y"&amp;RANDBETWEEN(3,12)),INDIRECT("z"&amp;RANDBETWEEN(3,11)))</f>
        <v>数据科学与大数据技术</v>
      </c>
      <c r="I95" t="str">
        <f t="shared" ca="1" si="8"/>
        <v>数据分析</v>
      </c>
      <c r="J95" t="str" cm="1">
        <f t="array" aca="1" ref="J95" ca="1">_xlfn.IFS(I95=$O$3,INDIRECT("ac"&amp;RANDBETWEEN(2,7)),I95=$O$2,INDIRECT("ad"&amp;RANDBETWEEN(2,10)),I95=$O$4,INDIRECT("ab"&amp;RANDBETWEEN(2,35)),I95=$O$5,INDIRECT("ae"&amp;RANDBETWEEN(2,7)),I95=$O$6,INDIRECT("af"&amp;RANDBETWEEN(2,7)),I95=$O$7,INDIRECT("ab"&amp;RANDBETWEEN(2,35)))</f>
        <v>SQL</v>
      </c>
      <c r="K95">
        <f ca="1">IF(F95="本科",2021-T95-22,2021-T95-21)</f>
        <v>1</v>
      </c>
      <c r="T95">
        <f t="shared" ca="1" si="9"/>
        <v>1998</v>
      </c>
      <c r="U95">
        <f t="shared" ca="1" si="10"/>
        <v>11</v>
      </c>
      <c r="V95">
        <f t="shared" ca="1" si="11"/>
        <v>29</v>
      </c>
      <c r="W95" t="s">
        <v>239</v>
      </c>
      <c r="X95" t="s">
        <v>675</v>
      </c>
    </row>
    <row r="96" spans="1:24" x14ac:dyDescent="0.2">
      <c r="A96" t="s">
        <v>126</v>
      </c>
      <c r="B96" t="str" cm="1">
        <f t="array" aca="1" ref="B96" ca="1">INDIRECT("r"&amp;RANDBETWEEN(2,3))</f>
        <v>男</v>
      </c>
      <c r="C96" t="str" cm="1">
        <f t="array" aca="1" ref="C96" ca="1">INDIRECT("s"&amp;RANDBETWEEN(2,19))</f>
        <v>广东省</v>
      </c>
      <c r="D96" t="s">
        <v>161</v>
      </c>
      <c r="E96" t="str">
        <f t="shared" ca="1" si="6"/>
        <v>1989-9-19</v>
      </c>
      <c r="F96" t="str">
        <f t="shared" ca="1" si="7"/>
        <v>本科</v>
      </c>
      <c r="G96" t="str" cm="1">
        <f t="array" aca="1" ref="G96" ca="1">INDIRECT("w"&amp;RANDBETWEEN(2,1431))</f>
        <v>温州大学</v>
      </c>
      <c r="H96" t="str" cm="1">
        <f t="array" aca="1" ref="H96" ca="1">IF(F96="本科",INDIRECT("y"&amp;RANDBETWEEN(3,12)),INDIRECT("z"&amp;RANDBETWEEN(3,11)))</f>
        <v>统计学</v>
      </c>
      <c r="I96" t="str">
        <f t="shared" ca="1" si="8"/>
        <v>数据分析</v>
      </c>
      <c r="J96" t="str" cm="1">
        <f t="array" aca="1" ref="J96" ca="1">_xlfn.IFS(I96=$O$3,INDIRECT("ac"&amp;RANDBETWEEN(2,7)),I96=$O$2,INDIRECT("ad"&amp;RANDBETWEEN(2,10)),I96=$O$4,INDIRECT("ab"&amp;RANDBETWEEN(2,35)),I96=$O$5,INDIRECT("ae"&amp;RANDBETWEEN(2,7)),I96=$O$6,INDIRECT("af"&amp;RANDBETWEEN(2,7)),I96=$O$7,INDIRECT("ab"&amp;RANDBETWEEN(2,35)))</f>
        <v>Python,SQL,数据挖掘,数据分析</v>
      </c>
      <c r="K96">
        <f ca="1">IF(F96="本科",2021-T96-22,2021-T96-21)</f>
        <v>10</v>
      </c>
      <c r="T96">
        <f t="shared" ca="1" si="9"/>
        <v>1989</v>
      </c>
      <c r="U96">
        <f t="shared" ca="1" si="10"/>
        <v>9</v>
      </c>
      <c r="V96">
        <f t="shared" ca="1" si="11"/>
        <v>19</v>
      </c>
      <c r="W96" t="s">
        <v>240</v>
      </c>
      <c r="X96" t="s">
        <v>675</v>
      </c>
    </row>
    <row r="97" spans="1:24" x14ac:dyDescent="0.2">
      <c r="A97" t="s">
        <v>127</v>
      </c>
      <c r="B97" t="str" cm="1">
        <f t="array" aca="1" ref="B97" ca="1">INDIRECT("r"&amp;RANDBETWEEN(2,3))</f>
        <v>男</v>
      </c>
      <c r="C97" t="str" cm="1">
        <f t="array" aca="1" ref="C97" ca="1">INDIRECT("s"&amp;RANDBETWEEN(2,19))</f>
        <v>江苏省</v>
      </c>
      <c r="D97" t="s">
        <v>161</v>
      </c>
      <c r="E97" t="str">
        <f t="shared" ca="1" si="6"/>
        <v>1996-4-14</v>
      </c>
      <c r="F97" t="str">
        <f t="shared" ca="1" si="7"/>
        <v>高职专科</v>
      </c>
      <c r="G97" t="str" cm="1">
        <f t="array" aca="1" ref="G97" ca="1">INDIRECT("w"&amp;RANDBETWEEN(2,1431))</f>
        <v>黑龙江建筑职</v>
      </c>
      <c r="H97" t="str" cm="1">
        <f t="array" aca="1" ref="H97" ca="1">IF(F97="本科",INDIRECT("y"&amp;RANDBETWEEN(3,12)),INDIRECT("z"&amp;RANDBETWEEN(3,11)))</f>
        <v>保密技术</v>
      </c>
      <c r="I97" t="str">
        <f t="shared" ca="1" si="8"/>
        <v>软件开发</v>
      </c>
      <c r="J97" t="str" cm="1">
        <f t="array" aca="1" ref="J97" ca="1">_xlfn.IFS(I97=$O$3,INDIRECT("ac"&amp;RANDBETWEEN(2,7)),I97=$O$2,INDIRECT("ad"&amp;RANDBETWEEN(2,10)),I97=$O$4,INDIRECT("ab"&amp;RANDBETWEEN(2,35)),I97=$O$5,INDIRECT("ae"&amp;RANDBETWEEN(2,7)),I97=$O$6,INDIRECT("af"&amp;RANDBETWEEN(2,7)),I97=$O$7,INDIRECT("ab"&amp;RANDBETWEEN(2,35)))</f>
        <v>Spring,Redis,MySQL,后端开发</v>
      </c>
      <c r="K97">
        <f ca="1">IF(F97="本科",2021-T97-22,2021-T97-21)</f>
        <v>4</v>
      </c>
      <c r="T97">
        <f t="shared" ca="1" si="9"/>
        <v>1996</v>
      </c>
      <c r="U97">
        <f t="shared" ca="1" si="10"/>
        <v>4</v>
      </c>
      <c r="V97">
        <f t="shared" ca="1" si="11"/>
        <v>14</v>
      </c>
      <c r="W97" t="s">
        <v>236</v>
      </c>
      <c r="X97" t="s">
        <v>675</v>
      </c>
    </row>
    <row r="98" spans="1:24" x14ac:dyDescent="0.2">
      <c r="A98" t="s">
        <v>128</v>
      </c>
      <c r="B98" t="str" cm="1">
        <f t="array" aca="1" ref="B98" ca="1">INDIRECT("r"&amp;RANDBETWEEN(2,3))</f>
        <v>女</v>
      </c>
      <c r="C98" t="str" cm="1">
        <f t="array" aca="1" ref="C98" ca="1">INDIRECT("s"&amp;RANDBETWEEN(2,19))</f>
        <v>四川省</v>
      </c>
      <c r="D98" t="s">
        <v>161</v>
      </c>
      <c r="E98" t="str">
        <f t="shared" ca="1" si="6"/>
        <v>1996-10-30</v>
      </c>
      <c r="F98" t="str">
        <f t="shared" ca="1" si="7"/>
        <v>高职专科</v>
      </c>
      <c r="G98" t="str" cm="1">
        <f t="array" aca="1" ref="G98" ca="1">INDIRECT("w"&amp;RANDBETWEEN(2,1431))</f>
        <v>重庆电力高等</v>
      </c>
      <c r="H98" t="str" cm="1">
        <f t="array" aca="1" ref="H98" ca="1">IF(F98="本科",INDIRECT("y"&amp;RANDBETWEEN(3,12)),INDIRECT("z"&amp;RANDBETWEEN(3,11)))</f>
        <v>移动商务</v>
      </c>
      <c r="I98" t="str">
        <f t="shared" ca="1" si="8"/>
        <v>电子商务运营</v>
      </c>
      <c r="J98" t="str" cm="1">
        <f t="array" aca="1" ref="J98" ca="1">_xlfn.IFS(I98=$O$3,INDIRECT("ac"&amp;RANDBETWEEN(2,7)),I98=$O$2,INDIRECT("ad"&amp;RANDBETWEEN(2,10)),I98=$O$4,INDIRECT("ab"&amp;RANDBETWEEN(2,35)),I98=$O$5,INDIRECT("ae"&amp;RANDBETWEEN(2,7)),I98=$O$6,INDIRECT("af"&amp;RANDBETWEEN(2,7)),I98=$O$7,INDIRECT("ab"&amp;RANDBETWEEN(2,35)))</f>
        <v>营销推广，竞品分析</v>
      </c>
      <c r="K98">
        <f ca="1">IF(F98="本科",2021-T98-22,2021-T98-21)</f>
        <v>4</v>
      </c>
      <c r="T98">
        <f t="shared" ca="1" si="9"/>
        <v>1996</v>
      </c>
      <c r="U98">
        <f t="shared" ca="1" si="10"/>
        <v>10</v>
      </c>
      <c r="V98">
        <f t="shared" ca="1" si="11"/>
        <v>30</v>
      </c>
      <c r="W98" t="s">
        <v>241</v>
      </c>
      <c r="X98" t="s">
        <v>675</v>
      </c>
    </row>
    <row r="99" spans="1:24" x14ac:dyDescent="0.2">
      <c r="A99" t="s">
        <v>129</v>
      </c>
      <c r="B99" t="str" cm="1">
        <f t="array" aca="1" ref="B99" ca="1">INDIRECT("r"&amp;RANDBETWEEN(2,3))</f>
        <v>女</v>
      </c>
      <c r="C99" t="str" cm="1">
        <f t="array" aca="1" ref="C99" ca="1">INDIRECT("s"&amp;RANDBETWEEN(2,19))</f>
        <v>辽宁省</v>
      </c>
      <c r="D99" t="s">
        <v>161</v>
      </c>
      <c r="E99" t="str">
        <f t="shared" ca="1" si="6"/>
        <v>1994-4-24</v>
      </c>
      <c r="F99" t="str">
        <f t="shared" ca="1" si="7"/>
        <v>本科</v>
      </c>
      <c r="G99" t="str" cm="1">
        <f t="array" aca="1" ref="G99" ca="1">INDIRECT("w"&amp;RANDBETWEEN(2,1431))</f>
        <v>广州大学</v>
      </c>
      <c r="H99" t="str" cm="1">
        <f t="array" aca="1" ref="H99" ca="1">IF(F99="本科",INDIRECT("y"&amp;RANDBETWEEN(3,12)),INDIRECT("z"&amp;RANDBETWEEN(3,11)))</f>
        <v>新媒体技术</v>
      </c>
      <c r="I99" t="str">
        <f t="shared" ca="1" si="8"/>
        <v>新媒体运营</v>
      </c>
      <c r="J99" t="str" cm="1">
        <f t="array" aca="1" ref="J99" ca="1">_xlfn.IFS(I99=$O$3,INDIRECT("ac"&amp;RANDBETWEEN(2,7)),I99=$O$2,INDIRECT("ad"&amp;RANDBETWEEN(2,10)),I99=$O$4,INDIRECT("ab"&amp;RANDBETWEEN(2,35)),I99=$O$5,INDIRECT("ae"&amp;RANDBETWEEN(2,7)),I99=$O$6,INDIRECT("af"&amp;RANDBETWEEN(2,7)),I99=$O$7,INDIRECT("ab"&amp;RANDBETWEEN(2,35)))</f>
        <v>活动策划,软文推广,H5制作</v>
      </c>
      <c r="K99">
        <f ca="1">IF(F99="本科",2021-T99-22,2021-T99-21)</f>
        <v>5</v>
      </c>
      <c r="T99">
        <f t="shared" ca="1" si="9"/>
        <v>1994</v>
      </c>
      <c r="U99">
        <f t="shared" ca="1" si="10"/>
        <v>4</v>
      </c>
      <c r="V99">
        <f t="shared" ca="1" si="11"/>
        <v>24</v>
      </c>
      <c r="W99" t="s">
        <v>241</v>
      </c>
      <c r="X99" t="s">
        <v>675</v>
      </c>
    </row>
    <row r="100" spans="1:24" x14ac:dyDescent="0.2">
      <c r="A100" t="s">
        <v>130</v>
      </c>
      <c r="B100" t="str" cm="1">
        <f t="array" aca="1" ref="B100" ca="1">INDIRECT("r"&amp;RANDBETWEEN(2,3))</f>
        <v>女</v>
      </c>
      <c r="C100" t="str" cm="1">
        <f t="array" aca="1" ref="C100" ca="1">INDIRECT("s"&amp;RANDBETWEEN(2,19))</f>
        <v>山东省</v>
      </c>
      <c r="D100" t="s">
        <v>161</v>
      </c>
      <c r="E100" t="str">
        <f t="shared" ca="1" si="6"/>
        <v>1988-6-17</v>
      </c>
      <c r="F100" t="str">
        <f t="shared" ca="1" si="7"/>
        <v>本科</v>
      </c>
      <c r="G100" t="str" cm="1">
        <f t="array" aca="1" ref="G100" ca="1">INDIRECT("w"&amp;RANDBETWEEN(2,1431))</f>
        <v>菏泽学院</v>
      </c>
      <c r="H100" t="str" cm="1">
        <f t="array" aca="1" ref="H100" ca="1">IF(F100="本科",INDIRECT("y"&amp;RANDBETWEEN(3,12)),INDIRECT("z"&amp;RANDBETWEEN(3,11)))</f>
        <v>统计学</v>
      </c>
      <c r="I100" t="str">
        <f t="shared" ca="1" si="8"/>
        <v>数据分析</v>
      </c>
      <c r="J100" t="str" cm="1">
        <f t="array" aca="1" ref="J100" ca="1">_xlfn.IFS(I100=$O$3,INDIRECT("ac"&amp;RANDBETWEEN(2,7)),I100=$O$2,INDIRECT("ad"&amp;RANDBETWEEN(2,10)),I100=$O$4,INDIRECT("ab"&amp;RANDBETWEEN(2,35)),I100=$O$5,INDIRECT("ae"&amp;RANDBETWEEN(2,7)),I100=$O$6,INDIRECT("af"&amp;RANDBETWEEN(2,7)),I100=$O$7,INDIRECT("ab"&amp;RANDBETWEEN(2,35)))</f>
        <v>SQL,Scala,Spark,Kafka,HADOOP,Java,Linux,架构</v>
      </c>
      <c r="K100">
        <f ca="1">IF(F100="本科",2021-T100-22,2021-T100-21)</f>
        <v>11</v>
      </c>
      <c r="T100">
        <f t="shared" ca="1" si="9"/>
        <v>1988</v>
      </c>
      <c r="U100">
        <f t="shared" ca="1" si="10"/>
        <v>6</v>
      </c>
      <c r="V100">
        <f t="shared" ca="1" si="11"/>
        <v>17</v>
      </c>
      <c r="W100" t="s">
        <v>242</v>
      </c>
      <c r="X100" t="s">
        <v>675</v>
      </c>
    </row>
    <row r="101" spans="1:24" x14ac:dyDescent="0.2">
      <c r="A101" t="s">
        <v>131</v>
      </c>
      <c r="B101" t="str" cm="1">
        <f t="array" aca="1" ref="B101" ca="1">INDIRECT("r"&amp;RANDBETWEEN(2,3))</f>
        <v>男</v>
      </c>
      <c r="C101" t="str" cm="1">
        <f t="array" aca="1" ref="C101" ca="1">INDIRECT("s"&amp;RANDBETWEEN(2,19))</f>
        <v>河南省</v>
      </c>
      <c r="D101" t="s">
        <v>161</v>
      </c>
      <c r="E101" t="str">
        <f t="shared" ca="1" si="6"/>
        <v>1996-2-18</v>
      </c>
      <c r="F101" t="str">
        <f t="shared" ca="1" si="7"/>
        <v>本科</v>
      </c>
      <c r="G101" t="str" cm="1">
        <f t="array" aca="1" ref="G101" ca="1">INDIRECT("w"&amp;RANDBETWEEN(2,1431))</f>
        <v>西藏大学</v>
      </c>
      <c r="H101" t="str" cm="1">
        <f t="array" aca="1" ref="H101" ca="1">IF(F101="本科",INDIRECT("y"&amp;RANDBETWEEN(3,12)),INDIRECT("z"&amp;RANDBETWEEN(3,11)))</f>
        <v>数学与应用数学</v>
      </c>
      <c r="I101" t="str">
        <f t="shared" ca="1" si="8"/>
        <v>数据分析</v>
      </c>
      <c r="J101" t="str" cm="1">
        <f t="array" aca="1" ref="J101" ca="1">_xlfn.IFS(I101=$O$3,INDIRECT("ac"&amp;RANDBETWEEN(2,7)),I101=$O$2,INDIRECT("ad"&amp;RANDBETWEEN(2,10)),I101=$O$4,INDIRECT("ab"&amp;RANDBETWEEN(2,35)),I101=$O$5,INDIRECT("ae"&amp;RANDBETWEEN(2,7)),I101=$O$6,INDIRECT("af"&amp;RANDBETWEEN(2,7)),I101=$O$7,INDIRECT("ab"&amp;RANDBETWEEN(2,35)))</f>
        <v>Excel,SQL</v>
      </c>
      <c r="K101">
        <f ca="1">IF(F101="本科",2021-T101-22,2021-T101-21)</f>
        <v>3</v>
      </c>
      <c r="T101">
        <f t="shared" ca="1" si="9"/>
        <v>1996</v>
      </c>
      <c r="U101">
        <f t="shared" ca="1" si="10"/>
        <v>2</v>
      </c>
      <c r="V101">
        <f t="shared" ca="1" si="11"/>
        <v>18</v>
      </c>
      <c r="W101" t="s">
        <v>243</v>
      </c>
      <c r="X101" t="s">
        <v>675</v>
      </c>
    </row>
    <row r="102" spans="1:24" x14ac:dyDescent="0.2">
      <c r="A102" t="s">
        <v>132</v>
      </c>
      <c r="B102" t="str" cm="1">
        <f t="array" aca="1" ref="B102" ca="1">INDIRECT("r"&amp;RANDBETWEEN(2,3))</f>
        <v>男</v>
      </c>
      <c r="C102" t="str" cm="1">
        <f t="array" aca="1" ref="C102" ca="1">INDIRECT("s"&amp;RANDBETWEEN(2,19))</f>
        <v>江西省</v>
      </c>
      <c r="D102" t="s">
        <v>161</v>
      </c>
      <c r="E102" t="str">
        <f t="shared" ca="1" si="6"/>
        <v>1998-4-20</v>
      </c>
      <c r="F102" t="str">
        <f t="shared" ca="1" si="7"/>
        <v>本科</v>
      </c>
      <c r="G102" t="str" cm="1">
        <f t="array" aca="1" ref="G102" ca="1">INDIRECT("w"&amp;RANDBETWEEN(2,1431))</f>
        <v>北京城市学院</v>
      </c>
      <c r="H102" t="str" cm="1">
        <f t="array" aca="1" ref="H102" ca="1">IF(F102="本科",INDIRECT("y"&amp;RANDBETWEEN(3,12)),INDIRECT("z"&amp;RANDBETWEEN(3,11)))</f>
        <v>新媒体技术</v>
      </c>
      <c r="I102" t="str">
        <f t="shared" ca="1" si="8"/>
        <v>新媒体运营</v>
      </c>
      <c r="J102" t="str" cm="1">
        <f t="array" aca="1" ref="J102" ca="1">_xlfn.IFS(I102=$O$3,INDIRECT("ac"&amp;RANDBETWEEN(2,7)),I102=$O$2,INDIRECT("ad"&amp;RANDBETWEEN(2,10)),I102=$O$4,INDIRECT("ab"&amp;RANDBETWEEN(2,35)),I102=$O$5,INDIRECT("ae"&amp;RANDBETWEEN(2,7)),I102=$O$6,INDIRECT("af"&amp;RANDBETWEEN(2,7)),I102=$O$7,INDIRECT("ab"&amp;RANDBETWEEN(2,35)))</f>
        <v>策划热点事件,专业脚本,时尚</v>
      </c>
      <c r="K102">
        <f ca="1">IF(F102="本科",2021-T102-22,2021-T102-21)</f>
        <v>1</v>
      </c>
      <c r="T102">
        <f t="shared" ca="1" si="9"/>
        <v>1998</v>
      </c>
      <c r="U102">
        <f t="shared" ca="1" si="10"/>
        <v>4</v>
      </c>
      <c r="V102">
        <f t="shared" ca="1" si="11"/>
        <v>20</v>
      </c>
      <c r="W102" t="s">
        <v>217</v>
      </c>
      <c r="X102" t="s">
        <v>675</v>
      </c>
    </row>
    <row r="103" spans="1:24" x14ac:dyDescent="0.2">
      <c r="A103" t="s">
        <v>133</v>
      </c>
      <c r="B103" t="str" cm="1">
        <f t="array" aca="1" ref="B103" ca="1">INDIRECT("r"&amp;RANDBETWEEN(2,3))</f>
        <v>女</v>
      </c>
      <c r="C103" t="str" cm="1">
        <f t="array" aca="1" ref="C103" ca="1">INDIRECT("s"&amp;RANDBETWEEN(2,19))</f>
        <v>湖北省</v>
      </c>
      <c r="D103" t="s">
        <v>161</v>
      </c>
      <c r="E103" t="str">
        <f t="shared" ca="1" si="6"/>
        <v>1989-12-3</v>
      </c>
      <c r="F103" t="str">
        <f t="shared" ca="1" si="7"/>
        <v>本科</v>
      </c>
      <c r="G103" t="str" cm="1">
        <f t="array" aca="1" ref="G103" ca="1">INDIRECT("w"&amp;RANDBETWEEN(2,1431))</f>
        <v>湖南科技学院</v>
      </c>
      <c r="H103" t="str" cm="1">
        <f t="array" aca="1" ref="H103" ca="1">IF(F103="本科",INDIRECT("y"&amp;RANDBETWEEN(3,12)),INDIRECT("z"&amp;RANDBETWEEN(3,11)))</f>
        <v>数学与应用数学</v>
      </c>
      <c r="I103" t="str">
        <f t="shared" ca="1" si="8"/>
        <v>数据分析</v>
      </c>
      <c r="J103" t="str" cm="1">
        <f t="array" aca="1" ref="J103" ca="1">_xlfn.IFS(I103=$O$3,INDIRECT("ac"&amp;RANDBETWEEN(2,7)),I103=$O$2,INDIRECT("ad"&amp;RANDBETWEEN(2,10)),I103=$O$4,INDIRECT("ab"&amp;RANDBETWEEN(2,35)),I103=$O$5,INDIRECT("ae"&amp;RANDBETWEEN(2,7)),I103=$O$6,INDIRECT("af"&amp;RANDBETWEEN(2,7)),I103=$O$7,INDIRECT("ab"&amp;RANDBETWEEN(2,35)))</f>
        <v>SQL</v>
      </c>
      <c r="K103">
        <f ca="1">IF(F103="本科",2021-T103-22,2021-T103-21)</f>
        <v>10</v>
      </c>
      <c r="T103">
        <f t="shared" ca="1" si="9"/>
        <v>1989</v>
      </c>
      <c r="U103">
        <f t="shared" ca="1" si="10"/>
        <v>12</v>
      </c>
      <c r="V103">
        <f t="shared" ca="1" si="11"/>
        <v>3</v>
      </c>
      <c r="W103" t="s">
        <v>218</v>
      </c>
      <c r="X103" t="s">
        <v>675</v>
      </c>
    </row>
    <row r="104" spans="1:24" x14ac:dyDescent="0.2">
      <c r="A104" t="s">
        <v>134</v>
      </c>
      <c r="B104" t="str" cm="1">
        <f t="array" aca="1" ref="B104" ca="1">INDIRECT("r"&amp;RANDBETWEEN(2,3))</f>
        <v>男</v>
      </c>
      <c r="C104" t="str" cm="1">
        <f t="array" aca="1" ref="C104" ca="1">INDIRECT("s"&amp;RANDBETWEEN(2,19))</f>
        <v>江苏省</v>
      </c>
      <c r="D104" t="s">
        <v>161</v>
      </c>
      <c r="E104" t="str">
        <f t="shared" ca="1" si="6"/>
        <v>1992-1-21</v>
      </c>
      <c r="F104" t="str">
        <f t="shared" ca="1" si="7"/>
        <v>高职专科</v>
      </c>
      <c r="G104" t="str" cm="1">
        <f t="array" aca="1" ref="G104" ca="1">INDIRECT("w"&amp;RANDBETWEEN(2,1431))</f>
        <v>呼和浩特职业</v>
      </c>
      <c r="H104" t="str" cm="1">
        <f t="array" aca="1" ref="H104" ca="1">IF(F104="本科",INDIRECT("y"&amp;RANDBETWEEN(3,12)),INDIRECT("z"&amp;RANDBETWEEN(3,11)))</f>
        <v>软件技术</v>
      </c>
      <c r="I104" t="str">
        <f t="shared" ca="1" si="8"/>
        <v>软件开发</v>
      </c>
      <c r="J104" t="str" cm="1">
        <f t="array" aca="1" ref="J104" ca="1">_xlfn.IFS(I104=$O$3,INDIRECT("ac"&amp;RANDBETWEEN(2,7)),I104=$O$2,INDIRECT("ad"&amp;RANDBETWEEN(2,10)),I104=$O$4,INDIRECT("ab"&amp;RANDBETWEEN(2,35)),I104=$O$5,INDIRECT("ae"&amp;RANDBETWEEN(2,7)),I104=$O$6,INDIRECT("af"&amp;RANDBETWEEN(2,7)),I104=$O$7,INDIRECT("ab"&amp;RANDBETWEEN(2,35)))</f>
        <v>HTML,CSS</v>
      </c>
      <c r="K104">
        <f ca="1">IF(F104="本科",2021-T104-22,2021-T104-21)</f>
        <v>8</v>
      </c>
      <c r="T104">
        <f t="shared" ca="1" si="9"/>
        <v>1992</v>
      </c>
      <c r="U104">
        <f t="shared" ca="1" si="10"/>
        <v>1</v>
      </c>
      <c r="V104">
        <f t="shared" ca="1" si="11"/>
        <v>21</v>
      </c>
      <c r="W104" t="s">
        <v>219</v>
      </c>
      <c r="X104" t="s">
        <v>675</v>
      </c>
    </row>
    <row r="105" spans="1:24" x14ac:dyDescent="0.2">
      <c r="A105" t="s">
        <v>135</v>
      </c>
      <c r="B105" t="str" cm="1">
        <f t="array" aca="1" ref="B105" ca="1">INDIRECT("r"&amp;RANDBETWEEN(2,3))</f>
        <v>女</v>
      </c>
      <c r="C105" t="str" cm="1">
        <f t="array" aca="1" ref="C105" ca="1">INDIRECT("s"&amp;RANDBETWEEN(2,19))</f>
        <v>四川省</v>
      </c>
      <c r="D105" t="s">
        <v>161</v>
      </c>
      <c r="E105" t="str">
        <f t="shared" ca="1" si="6"/>
        <v>1995-12-19</v>
      </c>
      <c r="F105" t="str">
        <f t="shared" ca="1" si="7"/>
        <v>本科</v>
      </c>
      <c r="G105" t="str" cm="1">
        <f t="array" aca="1" ref="G105" ca="1">INDIRECT("w"&amp;RANDBETWEEN(2,1431))</f>
        <v>西安工业大学</v>
      </c>
      <c r="H105" t="str" cm="1">
        <f t="array" aca="1" ref="H105" ca="1">IF(F105="本科",INDIRECT("y"&amp;RANDBETWEEN(3,12)),INDIRECT("z"&amp;RANDBETWEEN(3,11)))</f>
        <v>数据计算及应用</v>
      </c>
      <c r="I105" t="str">
        <f t="shared" ca="1" si="8"/>
        <v>数据分析</v>
      </c>
      <c r="J105" t="str" cm="1">
        <f t="array" aca="1" ref="J105" ca="1">_xlfn.IFS(I105=$O$3,INDIRECT("ac"&amp;RANDBETWEEN(2,7)),I105=$O$2,INDIRECT("ad"&amp;RANDBETWEEN(2,10)),I105=$O$4,INDIRECT("ab"&amp;RANDBETWEEN(2,35)),I105=$O$5,INDIRECT("ae"&amp;RANDBETWEEN(2,7)),I105=$O$6,INDIRECT("af"&amp;RANDBETWEEN(2,7)),I105=$O$7,INDIRECT("ab"&amp;RANDBETWEEN(2,35)))</f>
        <v>Excel,SPSS,SQL,Python</v>
      </c>
      <c r="K105">
        <f ca="1">IF(F105="本科",2021-T105-22,2021-T105-21)</f>
        <v>4</v>
      </c>
      <c r="T105">
        <f t="shared" ca="1" si="9"/>
        <v>1995</v>
      </c>
      <c r="U105">
        <f t="shared" ca="1" si="10"/>
        <v>12</v>
      </c>
      <c r="V105">
        <f t="shared" ca="1" si="11"/>
        <v>19</v>
      </c>
      <c r="W105" t="s">
        <v>220</v>
      </c>
      <c r="X105" t="s">
        <v>675</v>
      </c>
    </row>
    <row r="106" spans="1:24" x14ac:dyDescent="0.2">
      <c r="A106" t="s">
        <v>136</v>
      </c>
      <c r="B106" t="str" cm="1">
        <f t="array" aca="1" ref="B106" ca="1">INDIRECT("r"&amp;RANDBETWEEN(2,3))</f>
        <v>男</v>
      </c>
      <c r="C106" t="str" cm="1">
        <f t="array" aca="1" ref="C106" ca="1">INDIRECT("s"&amp;RANDBETWEEN(2,19))</f>
        <v>山东省</v>
      </c>
      <c r="D106" t="s">
        <v>161</v>
      </c>
      <c r="E106" t="str">
        <f t="shared" ca="1" si="6"/>
        <v>1992-6-15</v>
      </c>
      <c r="F106" t="str">
        <f t="shared" ca="1" si="7"/>
        <v>本科</v>
      </c>
      <c r="G106" t="str" cm="1">
        <f t="array" aca="1" ref="G106" ca="1">INDIRECT("w"&amp;RANDBETWEEN(2,1431))</f>
        <v>齐齐哈尔大学</v>
      </c>
      <c r="H106" t="str" cm="1">
        <f t="array" aca="1" ref="H106" ca="1">IF(F106="本科",INDIRECT("y"&amp;RANDBETWEEN(3,12)),INDIRECT("z"&amp;RANDBETWEEN(3,11)))</f>
        <v>新媒体技术</v>
      </c>
      <c r="I106" t="str">
        <f t="shared" ca="1" si="8"/>
        <v>新媒体运营</v>
      </c>
      <c r="J106" t="str" cm="1">
        <f t="array" aca="1" ref="J106" ca="1">_xlfn.IFS(I106=$O$3,INDIRECT("ac"&amp;RANDBETWEEN(2,7)),I106=$O$2,INDIRECT("ad"&amp;RANDBETWEEN(2,10)),I106=$O$4,INDIRECT("ab"&amp;RANDBETWEEN(2,35)),I106=$O$5,INDIRECT("ae"&amp;RANDBETWEEN(2,7)),I106=$O$6,INDIRECT("af"&amp;RANDBETWEEN(2,7)),I106=$O$7,INDIRECT("ab"&amp;RANDBETWEEN(2,35)))</f>
        <v>活动策划,软文推广,H5制作</v>
      </c>
      <c r="K106">
        <f ca="1">IF(F106="本科",2021-T106-22,2021-T106-21)</f>
        <v>7</v>
      </c>
      <c r="T106">
        <f t="shared" ca="1" si="9"/>
        <v>1992</v>
      </c>
      <c r="U106">
        <f t="shared" ca="1" si="10"/>
        <v>6</v>
      </c>
      <c r="V106">
        <f t="shared" ca="1" si="11"/>
        <v>15</v>
      </c>
      <c r="W106" t="s">
        <v>221</v>
      </c>
      <c r="X106" t="s">
        <v>675</v>
      </c>
    </row>
    <row r="107" spans="1:24" x14ac:dyDescent="0.2">
      <c r="A107" t="s">
        <v>137</v>
      </c>
      <c r="B107" t="str" cm="1">
        <f t="array" aca="1" ref="B107" ca="1">INDIRECT("r"&amp;RANDBETWEEN(2,3))</f>
        <v>女</v>
      </c>
      <c r="C107" t="str" cm="1">
        <f t="array" aca="1" ref="C107" ca="1">INDIRECT("s"&amp;RANDBETWEEN(2,19))</f>
        <v>湖南省</v>
      </c>
      <c r="D107" t="s">
        <v>161</v>
      </c>
      <c r="E107" t="str">
        <f t="shared" ca="1" si="6"/>
        <v>1998-2-26</v>
      </c>
      <c r="F107" t="str">
        <f t="shared" ca="1" si="7"/>
        <v>本科</v>
      </c>
      <c r="G107" t="str" cm="1">
        <f t="array" aca="1" ref="G107" ca="1">INDIRECT("w"&amp;RANDBETWEEN(2,1431))</f>
        <v>哈尔滨工业大</v>
      </c>
      <c r="H107" t="str" cm="1">
        <f t="array" aca="1" ref="H107" ca="1">IF(F107="本科",INDIRECT("y"&amp;RANDBETWEEN(3,12)),INDIRECT("z"&amp;RANDBETWEEN(3,11)))</f>
        <v>数学与应用数学</v>
      </c>
      <c r="I107" t="str">
        <f t="shared" ca="1" si="8"/>
        <v>数据分析</v>
      </c>
      <c r="J107" t="str" cm="1">
        <f t="array" aca="1" ref="J107" ca="1">_xlfn.IFS(I107=$O$3,INDIRECT("ac"&amp;RANDBETWEEN(2,7)),I107=$O$2,INDIRECT("ad"&amp;RANDBETWEEN(2,10)),I107=$O$4,INDIRECT("ab"&amp;RANDBETWEEN(2,35)),I107=$O$5,INDIRECT("ae"&amp;RANDBETWEEN(2,7)),I107=$O$6,INDIRECT("af"&amp;RANDBETWEEN(2,7)),I107=$O$7,INDIRECT("ab"&amp;RANDBETWEEN(2,35)))</f>
        <v>SQL,相关分析,Python,Excel</v>
      </c>
      <c r="K107">
        <f ca="1">IF(F107="本科",2021-T107-22,2021-T107-21)</f>
        <v>1</v>
      </c>
      <c r="T107">
        <f t="shared" ca="1" si="9"/>
        <v>1998</v>
      </c>
      <c r="U107">
        <f t="shared" ca="1" si="10"/>
        <v>2</v>
      </c>
      <c r="V107">
        <f t="shared" ca="1" si="11"/>
        <v>26</v>
      </c>
      <c r="W107" t="s">
        <v>222</v>
      </c>
      <c r="X107" t="s">
        <v>675</v>
      </c>
    </row>
    <row r="108" spans="1:24" x14ac:dyDescent="0.2">
      <c r="A108" t="s">
        <v>138</v>
      </c>
      <c r="B108" t="str" cm="1">
        <f t="array" aca="1" ref="B108" ca="1">INDIRECT("r"&amp;RANDBETWEEN(2,3))</f>
        <v>男</v>
      </c>
      <c r="C108" t="str" cm="1">
        <f t="array" aca="1" ref="C108" ca="1">INDIRECT("s"&amp;RANDBETWEEN(2,19))</f>
        <v>云南省</v>
      </c>
      <c r="D108" t="s">
        <v>161</v>
      </c>
      <c r="E108" t="str">
        <f t="shared" ca="1" si="6"/>
        <v>1990-4-10</v>
      </c>
      <c r="F108" t="str">
        <f t="shared" ca="1" si="7"/>
        <v>本科</v>
      </c>
      <c r="G108" t="str" cm="1">
        <f t="array" aca="1" ref="G108" ca="1">INDIRECT("w"&amp;RANDBETWEEN(2,1431))</f>
        <v>黑龙江大学</v>
      </c>
      <c r="H108" t="str" cm="1">
        <f t="array" aca="1" ref="H108" ca="1">IF(F108="本科",INDIRECT("y"&amp;RANDBETWEEN(3,12)),INDIRECT("z"&amp;RANDBETWEEN(3,11)))</f>
        <v>软件工程</v>
      </c>
      <c r="I108" t="str">
        <f t="shared" ca="1" si="8"/>
        <v>软件开发</v>
      </c>
      <c r="J108" t="str" cm="1">
        <f t="array" aca="1" ref="J108" ca="1">_xlfn.IFS(I108=$O$3,INDIRECT("ac"&amp;RANDBETWEEN(2,7)),I108=$O$2,INDIRECT("ad"&amp;RANDBETWEEN(2,10)),I108=$O$4,INDIRECT("ab"&amp;RANDBETWEEN(2,35)),I108=$O$5,INDIRECT("ae"&amp;RANDBETWEEN(2,7)),I108=$O$6,INDIRECT("af"&amp;RANDBETWEEN(2,7)),I108=$O$7,INDIRECT("ab"&amp;RANDBETWEEN(2,35)))</f>
        <v>python,go</v>
      </c>
      <c r="K108">
        <f ca="1">IF(F108="本科",2021-T108-22,2021-T108-21)</f>
        <v>9</v>
      </c>
      <c r="T108">
        <f t="shared" ca="1" si="9"/>
        <v>1990</v>
      </c>
      <c r="U108">
        <f t="shared" ca="1" si="10"/>
        <v>4</v>
      </c>
      <c r="V108">
        <f t="shared" ca="1" si="11"/>
        <v>10</v>
      </c>
      <c r="W108" t="s">
        <v>223</v>
      </c>
      <c r="X108" t="s">
        <v>675</v>
      </c>
    </row>
    <row r="109" spans="1:24" x14ac:dyDescent="0.2">
      <c r="A109" t="s">
        <v>139</v>
      </c>
      <c r="B109" t="str" cm="1">
        <f t="array" aca="1" ref="B109" ca="1">INDIRECT("r"&amp;RANDBETWEEN(2,3))</f>
        <v>男</v>
      </c>
      <c r="C109" t="str" cm="1">
        <f t="array" aca="1" ref="C109" ca="1">INDIRECT("s"&amp;RANDBETWEEN(2,19))</f>
        <v>湖南省</v>
      </c>
      <c r="D109" t="s">
        <v>161</v>
      </c>
      <c r="E109" t="str">
        <f t="shared" ca="1" si="6"/>
        <v>1991-1-16</v>
      </c>
      <c r="F109" t="str">
        <f t="shared" ca="1" si="7"/>
        <v>高职专科</v>
      </c>
      <c r="G109" t="str" cm="1">
        <f t="array" aca="1" ref="G109" ca="1">INDIRECT("w"&amp;RANDBETWEEN(2,1431))</f>
        <v>山西水利职业</v>
      </c>
      <c r="H109" t="str" cm="1">
        <f t="array" aca="1" ref="H109" ca="1">IF(F109="本科",INDIRECT("y"&amp;RANDBETWEEN(3,12)),INDIRECT("z"&amp;RANDBETWEEN(3,11)))</f>
        <v>大数据技术</v>
      </c>
      <c r="I109" t="str">
        <f t="shared" ca="1" si="8"/>
        <v>数据分析</v>
      </c>
      <c r="J109" t="str" cm="1">
        <f t="array" aca="1" ref="J109" ca="1">_xlfn.IFS(I109=$O$3,INDIRECT("ac"&amp;RANDBETWEEN(2,7)),I109=$O$2,INDIRECT("ad"&amp;RANDBETWEEN(2,10)),I109=$O$4,INDIRECT("ab"&amp;RANDBETWEEN(2,35)),I109=$O$5,INDIRECT("ae"&amp;RANDBETWEEN(2,7)),I109=$O$6,INDIRECT("af"&amp;RANDBETWEEN(2,7)),I109=$O$7,INDIRECT("ab"&amp;RANDBETWEEN(2,35)))</f>
        <v>Python,SQL,数据挖掘,数据分析</v>
      </c>
      <c r="K109">
        <f ca="1">IF(F109="本科",2021-T109-22,2021-T109-21)</f>
        <v>9</v>
      </c>
      <c r="T109">
        <f t="shared" ca="1" si="9"/>
        <v>1991</v>
      </c>
      <c r="U109">
        <f t="shared" ca="1" si="10"/>
        <v>1</v>
      </c>
      <c r="V109">
        <f t="shared" ca="1" si="11"/>
        <v>16</v>
      </c>
      <c r="W109" t="s">
        <v>224</v>
      </c>
      <c r="X109" t="s">
        <v>675</v>
      </c>
    </row>
    <row r="110" spans="1:24" x14ac:dyDescent="0.2">
      <c r="A110" t="s">
        <v>140</v>
      </c>
      <c r="B110" t="str" cm="1">
        <f t="array" aca="1" ref="B110" ca="1">INDIRECT("r"&amp;RANDBETWEEN(2,3))</f>
        <v>女</v>
      </c>
      <c r="C110" t="str" cm="1">
        <f t="array" aca="1" ref="C110" ca="1">INDIRECT("s"&amp;RANDBETWEEN(2,19))</f>
        <v>广东省</v>
      </c>
      <c r="D110" t="s">
        <v>161</v>
      </c>
      <c r="E110" t="str">
        <f t="shared" ca="1" si="6"/>
        <v>1997-7-28</v>
      </c>
      <c r="F110" t="str">
        <f t="shared" ca="1" si="7"/>
        <v>高职专科</v>
      </c>
      <c r="G110" t="str" cm="1">
        <f t="array" aca="1" ref="G110" ca="1">INDIRECT("w"&amp;RANDBETWEEN(2,1431))</f>
        <v>河北省艺术职</v>
      </c>
      <c r="H110" t="str" cm="1">
        <f t="array" aca="1" ref="H110" ca="1">IF(F110="本科",INDIRECT("y"&amp;RANDBETWEEN(3,12)),INDIRECT("z"&amp;RANDBETWEEN(3,11)))</f>
        <v>电子商务</v>
      </c>
      <c r="I110" t="str">
        <f t="shared" ca="1" si="8"/>
        <v>电子商务运营</v>
      </c>
      <c r="J110" t="str" cm="1">
        <f t="array" aca="1" ref="J110" ca="1">_xlfn.IFS(I110=$O$3,INDIRECT("ac"&amp;RANDBETWEEN(2,7)),I110=$O$2,INDIRECT("ad"&amp;RANDBETWEEN(2,10)),I110=$O$4,INDIRECT("ab"&amp;RANDBETWEEN(2,35)),I110=$O$5,INDIRECT("ae"&amp;RANDBETWEEN(2,7)),I110=$O$6,INDIRECT("af"&amp;RANDBETWEEN(2,7)),I110=$O$7,INDIRECT("ab"&amp;RANDBETWEEN(2,35)))</f>
        <v>跨境电商运营，店铺运营，平台商家运营</v>
      </c>
      <c r="K110">
        <f ca="1">IF(F110="本科",2021-T110-22,2021-T110-21)</f>
        <v>3</v>
      </c>
      <c r="T110">
        <f t="shared" ca="1" si="9"/>
        <v>1997</v>
      </c>
      <c r="U110">
        <f t="shared" ca="1" si="10"/>
        <v>7</v>
      </c>
      <c r="V110">
        <f t="shared" ca="1" si="11"/>
        <v>28</v>
      </c>
      <c r="W110" t="s">
        <v>225</v>
      </c>
      <c r="X110" t="s">
        <v>675</v>
      </c>
    </row>
    <row r="111" spans="1:24" x14ac:dyDescent="0.2">
      <c r="A111" t="s">
        <v>141</v>
      </c>
      <c r="B111" t="str" cm="1">
        <f t="array" aca="1" ref="B111" ca="1">INDIRECT("r"&amp;RANDBETWEEN(2,3))</f>
        <v>男</v>
      </c>
      <c r="C111" t="str" cm="1">
        <f t="array" aca="1" ref="C111" ca="1">INDIRECT("s"&amp;RANDBETWEEN(2,19))</f>
        <v>辽宁省</v>
      </c>
      <c r="D111" t="s">
        <v>161</v>
      </c>
      <c r="E111" t="str">
        <f t="shared" ca="1" si="6"/>
        <v>1998-1-20</v>
      </c>
      <c r="F111" t="str">
        <f t="shared" ca="1" si="7"/>
        <v>高职专科</v>
      </c>
      <c r="G111" t="str" cm="1">
        <f t="array" aca="1" ref="G111" ca="1">INDIRECT("w"&amp;RANDBETWEEN(2,1431))</f>
        <v>天津渤海职业</v>
      </c>
      <c r="H111" t="str" cm="1">
        <f t="array" aca="1" ref="H111" ca="1">IF(F111="本科",INDIRECT("y"&amp;RANDBETWEEN(3,12)),INDIRECT("z"&amp;RANDBETWEEN(3,11)))</f>
        <v>计算机网络技术</v>
      </c>
      <c r="I111" t="str">
        <f t="shared" ca="1" si="8"/>
        <v>前端</v>
      </c>
      <c r="J111" t="str" cm="1">
        <f t="array" aca="1" ref="J111" ca="1">_xlfn.IFS(I111=$O$3,INDIRECT("ac"&amp;RANDBETWEEN(2,7)),I111=$O$2,INDIRECT("ad"&amp;RANDBETWEEN(2,10)),I111=$O$4,INDIRECT("ab"&amp;RANDBETWEEN(2,35)),I111=$O$5,INDIRECT("ae"&amp;RANDBETWEEN(2,7)),I111=$O$6,INDIRECT("af"&amp;RANDBETWEEN(2,7)),I111=$O$7,INDIRECT("ab"&amp;RANDBETWEEN(2,35)))</f>
        <v>HTML,CSS,JavaScript,Web端,移动端,AJAX</v>
      </c>
      <c r="K111">
        <f ca="1">IF(F111="本科",2021-T111-22,2021-T111-21)</f>
        <v>2</v>
      </c>
      <c r="T111">
        <f t="shared" ca="1" si="9"/>
        <v>1998</v>
      </c>
      <c r="U111">
        <f t="shared" ca="1" si="10"/>
        <v>1</v>
      </c>
      <c r="V111">
        <f t="shared" ca="1" si="11"/>
        <v>20</v>
      </c>
      <c r="W111" t="s">
        <v>226</v>
      </c>
      <c r="X111" t="s">
        <v>675</v>
      </c>
    </row>
    <row r="112" spans="1:24" x14ac:dyDescent="0.2">
      <c r="A112" t="s">
        <v>142</v>
      </c>
      <c r="B112" t="str" cm="1">
        <f t="array" aca="1" ref="B112" ca="1">INDIRECT("r"&amp;RANDBETWEEN(2,3))</f>
        <v>女</v>
      </c>
      <c r="C112" t="str" cm="1">
        <f t="array" aca="1" ref="C112" ca="1">INDIRECT("s"&amp;RANDBETWEEN(2,19))</f>
        <v>贵州省</v>
      </c>
      <c r="D112" t="s">
        <v>161</v>
      </c>
      <c r="E112" t="str">
        <f t="shared" ca="1" si="6"/>
        <v>1992-10-9</v>
      </c>
      <c r="F112" t="str">
        <f t="shared" ca="1" si="7"/>
        <v>本科</v>
      </c>
      <c r="G112" t="str" cm="1">
        <f t="array" aca="1" ref="G112" ca="1">INDIRECT("w"&amp;RANDBETWEEN(2,1431))</f>
        <v>西安工业大学</v>
      </c>
      <c r="H112" t="str" cm="1">
        <f t="array" aca="1" ref="H112" ca="1">IF(F112="本科",INDIRECT("y"&amp;RANDBETWEEN(3,12)),INDIRECT("z"&amp;RANDBETWEEN(3,11)))</f>
        <v>电子与计算机工程</v>
      </c>
      <c r="I112" t="str">
        <f t="shared" ca="1" si="8"/>
        <v>软件开发</v>
      </c>
      <c r="J112" t="str" cm="1">
        <f t="array" aca="1" ref="J112" ca="1">_xlfn.IFS(I112=$O$3,INDIRECT("ac"&amp;RANDBETWEEN(2,7)),I112=$O$2,INDIRECT("ad"&amp;RANDBETWEEN(2,10)),I112=$O$4,INDIRECT("ab"&amp;RANDBETWEEN(2,35)),I112=$O$5,INDIRECT("ae"&amp;RANDBETWEEN(2,7)),I112=$O$6,INDIRECT("af"&amp;RANDBETWEEN(2,7)),I112=$O$7,INDIRECT("ab"&amp;RANDBETWEEN(2,35)))</f>
        <v>Hibernate,Dubbo</v>
      </c>
      <c r="K112">
        <f ca="1">IF(F112="本科",2021-T112-22,2021-T112-21)</f>
        <v>7</v>
      </c>
      <c r="T112">
        <f t="shared" ca="1" si="9"/>
        <v>1992</v>
      </c>
      <c r="U112">
        <f t="shared" ca="1" si="10"/>
        <v>10</v>
      </c>
      <c r="V112">
        <f t="shared" ca="1" si="11"/>
        <v>9</v>
      </c>
      <c r="W112" t="s">
        <v>227</v>
      </c>
      <c r="X112" t="s">
        <v>675</v>
      </c>
    </row>
    <row r="113" spans="1:24" x14ac:dyDescent="0.2">
      <c r="A113" t="s">
        <v>143</v>
      </c>
      <c r="B113" t="str" cm="1">
        <f t="array" aca="1" ref="B113" ca="1">INDIRECT("r"&amp;RANDBETWEEN(2,3))</f>
        <v>女</v>
      </c>
      <c r="C113" t="str" cm="1">
        <f t="array" aca="1" ref="C113" ca="1">INDIRECT("s"&amp;RANDBETWEEN(2,19))</f>
        <v>浙江省</v>
      </c>
      <c r="D113" t="s">
        <v>161</v>
      </c>
      <c r="E113" t="str">
        <f t="shared" ca="1" si="6"/>
        <v>1988-7-23</v>
      </c>
      <c r="F113" t="str">
        <f t="shared" ca="1" si="7"/>
        <v>本科</v>
      </c>
      <c r="G113" t="str" cm="1">
        <f t="array" aca="1" ref="G113" ca="1">INDIRECT("w"&amp;RANDBETWEEN(2,1431))</f>
        <v>辽宁科技学院</v>
      </c>
      <c r="H113" t="str" cm="1">
        <f t="array" aca="1" ref="H113" ca="1">IF(F113="本科",INDIRECT("y"&amp;RANDBETWEEN(3,12)),INDIRECT("z"&amp;RANDBETWEEN(3,11)))</f>
        <v>数据计算及应用</v>
      </c>
      <c r="I113" t="str">
        <f t="shared" ca="1" si="8"/>
        <v>数据分析</v>
      </c>
      <c r="J113" t="str" cm="1">
        <f t="array" aca="1" ref="J113" ca="1">_xlfn.IFS(I113=$O$3,INDIRECT("ac"&amp;RANDBETWEEN(2,7)),I113=$O$2,INDIRECT("ad"&amp;RANDBETWEEN(2,10)),I113=$O$4,INDIRECT("ab"&amp;RANDBETWEEN(2,35)),I113=$O$5,INDIRECT("ae"&amp;RANDBETWEEN(2,7)),I113=$O$6,INDIRECT("af"&amp;RANDBETWEEN(2,7)),I113=$O$7,INDIRECT("ab"&amp;RANDBETWEEN(2,35)))</f>
        <v>SPSS,SAS,Python</v>
      </c>
      <c r="K113">
        <f ca="1">IF(F113="本科",2021-T113-22,2021-T113-21)</f>
        <v>11</v>
      </c>
      <c r="T113">
        <f t="shared" ca="1" si="9"/>
        <v>1988</v>
      </c>
      <c r="U113">
        <f t="shared" ca="1" si="10"/>
        <v>7</v>
      </c>
      <c r="V113">
        <f t="shared" ca="1" si="11"/>
        <v>23</v>
      </c>
      <c r="W113" t="s">
        <v>228</v>
      </c>
      <c r="X113" t="s">
        <v>675</v>
      </c>
    </row>
    <row r="114" spans="1:24" x14ac:dyDescent="0.2">
      <c r="A114" t="s">
        <v>144</v>
      </c>
      <c r="B114" t="str" cm="1">
        <f t="array" aca="1" ref="B114" ca="1">INDIRECT("r"&amp;RANDBETWEEN(2,3))</f>
        <v>男</v>
      </c>
      <c r="C114" t="str" cm="1">
        <f t="array" aca="1" ref="C114" ca="1">INDIRECT("s"&amp;RANDBETWEEN(2,19))</f>
        <v>广东省</v>
      </c>
      <c r="D114" t="s">
        <v>161</v>
      </c>
      <c r="E114" t="str">
        <f t="shared" ca="1" si="6"/>
        <v>1987-12-8</v>
      </c>
      <c r="F114" t="str">
        <f t="shared" ca="1" si="7"/>
        <v>本科</v>
      </c>
      <c r="G114" t="str" cm="1">
        <f t="array" aca="1" ref="G114" ca="1">INDIRECT("w"&amp;RANDBETWEEN(2,1431))</f>
        <v>宜宾学院</v>
      </c>
      <c r="H114" t="str" cm="1">
        <f t="array" aca="1" ref="H114" ca="1">IF(F114="本科",INDIRECT("y"&amp;RANDBETWEEN(3,12)),INDIRECT("z"&amp;RANDBETWEEN(3,11)))</f>
        <v>电子与计算机工程</v>
      </c>
      <c r="I114" t="str">
        <f t="shared" ca="1" si="8"/>
        <v>软件开发</v>
      </c>
      <c r="J114" t="str" cm="1">
        <f t="array" aca="1" ref="J114" ca="1">_xlfn.IFS(I114=$O$3,INDIRECT("ac"&amp;RANDBETWEEN(2,7)),I114=$O$2,INDIRECT("ad"&amp;RANDBETWEEN(2,10)),I114=$O$4,INDIRECT("ab"&amp;RANDBETWEEN(2,35)),I114=$O$5,INDIRECT("ae"&amp;RANDBETWEEN(2,7)),I114=$O$6,INDIRECT("af"&amp;RANDBETWEEN(2,7)),I114=$O$7,INDIRECT("ab"&amp;RANDBETWEEN(2,35)))</f>
        <v>Hibernate,Dubbo,Oracle</v>
      </c>
      <c r="K114">
        <f ca="1">IF(F114="本科",2021-T114-22,2021-T114-21)</f>
        <v>12</v>
      </c>
      <c r="T114">
        <f t="shared" ca="1" si="9"/>
        <v>1987</v>
      </c>
      <c r="U114">
        <f t="shared" ca="1" si="10"/>
        <v>12</v>
      </c>
      <c r="V114">
        <f t="shared" ca="1" si="11"/>
        <v>8</v>
      </c>
      <c r="W114" t="s">
        <v>229</v>
      </c>
      <c r="X114" t="s">
        <v>675</v>
      </c>
    </row>
    <row r="115" spans="1:24" x14ac:dyDescent="0.2">
      <c r="A115" t="s">
        <v>145</v>
      </c>
      <c r="B115" t="str" cm="1">
        <f t="array" aca="1" ref="B115" ca="1">INDIRECT("r"&amp;RANDBETWEEN(2,3))</f>
        <v>女</v>
      </c>
      <c r="C115" t="str" cm="1">
        <f t="array" aca="1" ref="C115" ca="1">INDIRECT("s"&amp;RANDBETWEEN(2,19))</f>
        <v>吉林省</v>
      </c>
      <c r="D115" t="s">
        <v>161</v>
      </c>
      <c r="E115" t="str">
        <f t="shared" ca="1" si="6"/>
        <v>1998-12-22</v>
      </c>
      <c r="F115" t="str">
        <f t="shared" ca="1" si="7"/>
        <v>本科</v>
      </c>
      <c r="G115" t="str" cm="1">
        <f t="array" aca="1" ref="G115" ca="1">INDIRECT("w"&amp;RANDBETWEEN(2,1431))</f>
        <v>天津工业大学</v>
      </c>
      <c r="H115" t="str" cm="1">
        <f t="array" aca="1" ref="H115" ca="1">IF(F115="本科",INDIRECT("y"&amp;RANDBETWEEN(3,12)),INDIRECT("z"&amp;RANDBETWEEN(3,11)))</f>
        <v>软件工程</v>
      </c>
      <c r="I115" t="str">
        <f t="shared" ca="1" si="8"/>
        <v>软件开发</v>
      </c>
      <c r="J115" t="str" cm="1">
        <f t="array" aca="1" ref="J115" ca="1">_xlfn.IFS(I115=$O$3,INDIRECT("ac"&amp;RANDBETWEEN(2,7)),I115=$O$2,INDIRECT("ad"&amp;RANDBETWEEN(2,10)),I115=$O$4,INDIRECT("ab"&amp;RANDBETWEEN(2,35)),I115=$O$5,INDIRECT("ae"&amp;RANDBETWEEN(2,7)),I115=$O$6,INDIRECT("af"&amp;RANDBETWEEN(2,7)),I115=$O$7,INDIRECT("ab"&amp;RANDBETWEEN(2,35)))</f>
        <v>HTML,CSS</v>
      </c>
      <c r="K115">
        <f ca="1">IF(F115="本科",2021-T115-22,2021-T115-21)</f>
        <v>1</v>
      </c>
      <c r="T115">
        <f t="shared" ca="1" si="9"/>
        <v>1998</v>
      </c>
      <c r="U115">
        <f t="shared" ca="1" si="10"/>
        <v>12</v>
      </c>
      <c r="V115">
        <f t="shared" ca="1" si="11"/>
        <v>22</v>
      </c>
      <c r="W115" t="s">
        <v>230</v>
      </c>
      <c r="X115" t="s">
        <v>675</v>
      </c>
    </row>
    <row r="116" spans="1:24" x14ac:dyDescent="0.2">
      <c r="A116" t="s">
        <v>146</v>
      </c>
      <c r="B116" t="str" cm="1">
        <f t="array" aca="1" ref="B116" ca="1">INDIRECT("r"&amp;RANDBETWEEN(2,3))</f>
        <v>男</v>
      </c>
      <c r="C116" t="str" cm="1">
        <f t="array" aca="1" ref="C116" ca="1">INDIRECT("s"&amp;RANDBETWEEN(2,19))</f>
        <v>湖南省</v>
      </c>
      <c r="D116" t="s">
        <v>161</v>
      </c>
      <c r="E116" t="str">
        <f t="shared" ca="1" si="6"/>
        <v>1995-10-5</v>
      </c>
      <c r="F116" t="str">
        <f t="shared" ca="1" si="7"/>
        <v>本科</v>
      </c>
      <c r="G116" t="str" cm="1">
        <f t="array" aca="1" ref="G116" ca="1">INDIRECT("w"&amp;RANDBETWEEN(2,1431))</f>
        <v>中山大学</v>
      </c>
      <c r="H116" t="str" cm="1">
        <f t="array" aca="1" ref="H116" ca="1">IF(F116="本科",INDIRECT("y"&amp;RANDBETWEEN(3,12)),INDIRECT("z"&amp;RANDBETWEEN(3,11)))</f>
        <v>新媒体技术</v>
      </c>
      <c r="I116" t="str">
        <f t="shared" ca="1" si="8"/>
        <v>新媒体运营</v>
      </c>
      <c r="J116" t="str" cm="1">
        <f t="array" aca="1" ref="J116" ca="1">_xlfn.IFS(I116=$O$3,INDIRECT("ac"&amp;RANDBETWEEN(2,7)),I116=$O$2,INDIRECT("ad"&amp;RANDBETWEEN(2,10)),I116=$O$4,INDIRECT("ab"&amp;RANDBETWEEN(2,35)),I116=$O$5,INDIRECT("ae"&amp;RANDBETWEEN(2,7)),I116=$O$6,INDIRECT("af"&amp;RANDBETWEEN(2,7)),I116=$O$7,INDIRECT("ab"&amp;RANDBETWEEN(2,35)))</f>
        <v>策划热点事件,专业脚本,时尚</v>
      </c>
      <c r="K116">
        <f ca="1">IF(F116="本科",2021-T116-22,2021-T116-21)</f>
        <v>4</v>
      </c>
      <c r="T116">
        <f t="shared" ca="1" si="9"/>
        <v>1995</v>
      </c>
      <c r="U116">
        <f t="shared" ca="1" si="10"/>
        <v>10</v>
      </c>
      <c r="V116">
        <f t="shared" ca="1" si="11"/>
        <v>5</v>
      </c>
      <c r="W116" t="s">
        <v>231</v>
      </c>
      <c r="X116" t="s">
        <v>675</v>
      </c>
    </row>
    <row r="117" spans="1:24" x14ac:dyDescent="0.2">
      <c r="A117" t="s">
        <v>147</v>
      </c>
      <c r="B117" t="str" cm="1">
        <f t="array" aca="1" ref="B117" ca="1">INDIRECT("r"&amp;RANDBETWEEN(2,3))</f>
        <v>男</v>
      </c>
      <c r="C117" t="str" cm="1">
        <f t="array" aca="1" ref="C117" ca="1">INDIRECT("s"&amp;RANDBETWEEN(2,19))</f>
        <v>江苏省</v>
      </c>
      <c r="D117" t="s">
        <v>161</v>
      </c>
      <c r="E117" t="str">
        <f t="shared" ca="1" si="6"/>
        <v>1996-2-18</v>
      </c>
      <c r="F117" t="str">
        <f t="shared" ca="1" si="7"/>
        <v>本科</v>
      </c>
      <c r="G117" t="str" cm="1">
        <f t="array" aca="1" ref="G117" ca="1">INDIRECT("w"&amp;RANDBETWEEN(2,1431))</f>
        <v>吉林建筑大学</v>
      </c>
      <c r="H117" t="str" cm="1">
        <f t="array" aca="1" ref="H117" ca="1">IF(F117="本科",INDIRECT("y"&amp;RANDBETWEEN(3,12)),INDIRECT("z"&amp;RANDBETWEEN(3,11)))</f>
        <v>数学与应用数学</v>
      </c>
      <c r="I117" t="str">
        <f t="shared" ca="1" si="8"/>
        <v>数据分析</v>
      </c>
      <c r="J117" t="str" cm="1">
        <f t="array" aca="1" ref="J117" ca="1">_xlfn.IFS(I117=$O$3,INDIRECT("ac"&amp;RANDBETWEEN(2,7)),I117=$O$2,INDIRECT("ad"&amp;RANDBETWEEN(2,10)),I117=$O$4,INDIRECT("ab"&amp;RANDBETWEEN(2,35)),I117=$O$5,INDIRECT("ae"&amp;RANDBETWEEN(2,7)),I117=$O$6,INDIRECT("af"&amp;RANDBETWEEN(2,7)),I117=$O$7,INDIRECT("ab"&amp;RANDBETWEEN(2,35)))</f>
        <v>SQL,Scala,Spark,Kafka,HADOOP,Java,Linux,架构</v>
      </c>
      <c r="K117">
        <f ca="1">IF(F117="本科",2021-T117-22,2021-T117-21)</f>
        <v>3</v>
      </c>
      <c r="T117">
        <f t="shared" ca="1" si="9"/>
        <v>1996</v>
      </c>
      <c r="U117">
        <f t="shared" ca="1" si="10"/>
        <v>2</v>
      </c>
      <c r="V117">
        <f t="shared" ca="1" si="11"/>
        <v>18</v>
      </c>
      <c r="W117" t="s">
        <v>232</v>
      </c>
      <c r="X117" t="s">
        <v>675</v>
      </c>
    </row>
    <row r="118" spans="1:24" x14ac:dyDescent="0.2">
      <c r="A118" t="s">
        <v>148</v>
      </c>
      <c r="B118" t="str" cm="1">
        <f t="array" aca="1" ref="B118" ca="1">INDIRECT("r"&amp;RANDBETWEEN(2,3))</f>
        <v>女</v>
      </c>
      <c r="C118" t="str" cm="1">
        <f t="array" aca="1" ref="C118" ca="1">INDIRECT("s"&amp;RANDBETWEEN(2,19))</f>
        <v>湖北省</v>
      </c>
      <c r="D118" t="s">
        <v>161</v>
      </c>
      <c r="E118" t="str">
        <f t="shared" ca="1" si="6"/>
        <v>1997-9-2</v>
      </c>
      <c r="F118" t="str">
        <f t="shared" ca="1" si="7"/>
        <v>高职专科</v>
      </c>
      <c r="G118" t="str" cm="1">
        <f t="array" aca="1" ref="G118" ca="1">INDIRECT("w"&amp;RANDBETWEEN(2,1431))</f>
        <v>昆明冶金高等</v>
      </c>
      <c r="H118" t="str" cm="1">
        <f t="array" aca="1" ref="H118" ca="1">IF(F118="本科",INDIRECT("y"&amp;RANDBETWEEN(3,12)),INDIRECT("z"&amp;RANDBETWEEN(3,11)))</f>
        <v>统计与大数据分析</v>
      </c>
      <c r="I118" t="str">
        <f t="shared" ca="1" si="8"/>
        <v>数据分析</v>
      </c>
      <c r="J118" t="str" cm="1">
        <f t="array" aca="1" ref="J118" ca="1">_xlfn.IFS(I118=$O$3,INDIRECT("ac"&amp;RANDBETWEEN(2,7)),I118=$O$2,INDIRECT("ad"&amp;RANDBETWEEN(2,10)),I118=$O$4,INDIRECT("ab"&amp;RANDBETWEEN(2,35)),I118=$O$5,INDIRECT("ae"&amp;RANDBETWEEN(2,7)),I118=$O$6,INDIRECT("af"&amp;RANDBETWEEN(2,7)),I118=$O$7,INDIRECT("ab"&amp;RANDBETWEEN(2,35)))</f>
        <v>Python,SQL,数据挖掘,数据分析</v>
      </c>
      <c r="K118">
        <f ca="1">IF(F118="本科",2021-T118-22,2021-T118-21)</f>
        <v>3</v>
      </c>
      <c r="T118">
        <f t="shared" ca="1" si="9"/>
        <v>1997</v>
      </c>
      <c r="U118">
        <f t="shared" ca="1" si="10"/>
        <v>9</v>
      </c>
      <c r="V118">
        <f t="shared" ca="1" si="11"/>
        <v>2</v>
      </c>
      <c r="W118" t="s">
        <v>233</v>
      </c>
      <c r="X118" t="s">
        <v>675</v>
      </c>
    </row>
    <row r="119" spans="1:24" x14ac:dyDescent="0.2">
      <c r="A119" t="s">
        <v>149</v>
      </c>
      <c r="B119" t="str" cm="1">
        <f t="array" aca="1" ref="B119" ca="1">INDIRECT("r"&amp;RANDBETWEEN(2,3))</f>
        <v>女</v>
      </c>
      <c r="C119" t="str" cm="1">
        <f t="array" aca="1" ref="C119" ca="1">INDIRECT("s"&amp;RANDBETWEEN(2,19))</f>
        <v>吉林省</v>
      </c>
      <c r="D119" t="s">
        <v>161</v>
      </c>
      <c r="E119" t="str">
        <f t="shared" ca="1" si="6"/>
        <v>1987-10-26</v>
      </c>
      <c r="F119" t="str">
        <f t="shared" ca="1" si="7"/>
        <v>本科</v>
      </c>
      <c r="G119" t="str" cm="1">
        <f t="array" aca="1" ref="G119" ca="1">INDIRECT("w"&amp;RANDBETWEEN(2,1431))</f>
        <v>沈阳工程学院</v>
      </c>
      <c r="H119" t="str" cm="1">
        <f t="array" aca="1" ref="H119" ca="1">IF(F119="本科",INDIRECT("y"&amp;RANDBETWEEN(3,12)),INDIRECT("z"&amp;RANDBETWEEN(3,11)))</f>
        <v>统计学</v>
      </c>
      <c r="I119" t="str">
        <f t="shared" ca="1" si="8"/>
        <v>数据分析</v>
      </c>
      <c r="J119" t="str" cm="1">
        <f t="array" aca="1" ref="J119" ca="1">_xlfn.IFS(I119=$O$3,INDIRECT("ac"&amp;RANDBETWEEN(2,7)),I119=$O$2,INDIRECT("ad"&amp;RANDBETWEEN(2,10)),I119=$O$4,INDIRECT("ab"&amp;RANDBETWEEN(2,35)),I119=$O$5,INDIRECT("ae"&amp;RANDBETWEEN(2,7)),I119=$O$6,INDIRECT("af"&amp;RANDBETWEEN(2,7)),I119=$O$7,INDIRECT("ab"&amp;RANDBETWEEN(2,35)))</f>
        <v>Tableau</v>
      </c>
      <c r="K119">
        <f ca="1">IF(F119="本科",2021-T119-22,2021-T119-21)</f>
        <v>12</v>
      </c>
      <c r="T119">
        <f t="shared" ca="1" si="9"/>
        <v>1987</v>
      </c>
      <c r="U119">
        <f t="shared" ca="1" si="10"/>
        <v>10</v>
      </c>
      <c r="V119">
        <f t="shared" ca="1" si="11"/>
        <v>26</v>
      </c>
      <c r="W119" t="s">
        <v>234</v>
      </c>
      <c r="X119" t="s">
        <v>675</v>
      </c>
    </row>
    <row r="120" spans="1:24" x14ac:dyDescent="0.2">
      <c r="A120" t="s">
        <v>150</v>
      </c>
      <c r="B120" t="str" cm="1">
        <f t="array" aca="1" ref="B120" ca="1">INDIRECT("r"&amp;RANDBETWEEN(2,3))</f>
        <v>男</v>
      </c>
      <c r="C120" t="str" cm="1">
        <f t="array" aca="1" ref="C120" ca="1">INDIRECT("s"&amp;RANDBETWEEN(2,19))</f>
        <v>山西省</v>
      </c>
      <c r="D120" t="s">
        <v>161</v>
      </c>
      <c r="E120" t="str">
        <f t="shared" ca="1" si="6"/>
        <v>1992-1-4</v>
      </c>
      <c r="F120" t="str">
        <f t="shared" ca="1" si="7"/>
        <v>本科</v>
      </c>
      <c r="G120" t="str" cm="1">
        <f t="array" aca="1" ref="G120" ca="1">INDIRECT("w"&amp;RANDBETWEEN(2,1431))</f>
        <v>辽宁工程技术</v>
      </c>
      <c r="H120" t="str" cm="1">
        <f t="array" aca="1" ref="H120" ca="1">IF(F120="本科",INDIRECT("y"&amp;RANDBETWEEN(3,12)),INDIRECT("z"&amp;RANDBETWEEN(3,11)))</f>
        <v>软件工程</v>
      </c>
      <c r="I120" t="str">
        <f t="shared" ca="1" si="8"/>
        <v>软件开发</v>
      </c>
      <c r="J120" t="str" cm="1">
        <f t="array" aca="1" ref="J120" ca="1">_xlfn.IFS(I120=$O$3,INDIRECT("ac"&amp;RANDBETWEEN(2,7)),I120=$O$2,INDIRECT("ad"&amp;RANDBETWEEN(2,10)),I120=$O$4,INDIRECT("ab"&amp;RANDBETWEEN(2,35)),I120=$O$5,INDIRECT("ae"&amp;RANDBETWEEN(2,7)),I120=$O$6,INDIRECT("af"&amp;RANDBETWEEN(2,7)),I120=$O$7,INDIRECT("ab"&amp;RANDBETWEEN(2,35)))</f>
        <v>Spring,Redis,MySQL,后端开发</v>
      </c>
      <c r="K120">
        <f ca="1">IF(F120="本科",2021-T120-22,2021-T120-21)</f>
        <v>7</v>
      </c>
      <c r="T120">
        <f t="shared" ca="1" si="9"/>
        <v>1992</v>
      </c>
      <c r="U120">
        <f t="shared" ca="1" si="10"/>
        <v>1</v>
      </c>
      <c r="V120">
        <f t="shared" ca="1" si="11"/>
        <v>4</v>
      </c>
      <c r="W120" t="s">
        <v>235</v>
      </c>
      <c r="X120" t="s">
        <v>675</v>
      </c>
    </row>
    <row r="121" spans="1:24" x14ac:dyDescent="0.2">
      <c r="A121" t="s">
        <v>151</v>
      </c>
      <c r="B121" t="str" cm="1">
        <f t="array" aca="1" ref="B121" ca="1">INDIRECT("r"&amp;RANDBETWEEN(2,3))</f>
        <v>女</v>
      </c>
      <c r="C121" t="str" cm="1">
        <f t="array" aca="1" ref="C121" ca="1">INDIRECT("s"&amp;RANDBETWEEN(2,19))</f>
        <v>山东省</v>
      </c>
      <c r="D121" t="s">
        <v>161</v>
      </c>
      <c r="E121" t="str">
        <f t="shared" ca="1" si="6"/>
        <v>1991-6-26</v>
      </c>
      <c r="F121" t="str">
        <f t="shared" ca="1" si="7"/>
        <v>本科</v>
      </c>
      <c r="G121" t="str" cm="1">
        <f t="array" aca="1" ref="G121" ca="1">INDIRECT("w"&amp;RANDBETWEEN(2,1431))</f>
        <v>河南工程学院</v>
      </c>
      <c r="H121" t="str" cm="1">
        <f t="array" aca="1" ref="H121" ca="1">IF(F121="本科",INDIRECT("y"&amp;RANDBETWEEN(3,12)),INDIRECT("z"&amp;RANDBETWEEN(3,11)))</f>
        <v>新媒体技术</v>
      </c>
      <c r="I121" t="str">
        <f t="shared" ca="1" si="8"/>
        <v>新媒体运营</v>
      </c>
      <c r="J121" t="str" cm="1">
        <f t="array" aca="1" ref="J121" ca="1">_xlfn.IFS(I121=$O$3,INDIRECT("ac"&amp;RANDBETWEEN(2,7)),I121=$O$2,INDIRECT("ad"&amp;RANDBETWEEN(2,10)),I121=$O$4,INDIRECT("ab"&amp;RANDBETWEEN(2,35)),I121=$O$5,INDIRECT("ae"&amp;RANDBETWEEN(2,7)),I121=$O$6,INDIRECT("af"&amp;RANDBETWEEN(2,7)),I121=$O$7,INDIRECT("ab"&amp;RANDBETWEEN(2,35)))</f>
        <v>公众号/朋友圈运营,社群运营</v>
      </c>
      <c r="K121">
        <f ca="1">IF(F121="本科",2021-T121-22,2021-T121-21)</f>
        <v>8</v>
      </c>
      <c r="T121">
        <f t="shared" ca="1" si="9"/>
        <v>1991</v>
      </c>
      <c r="U121">
        <f t="shared" ca="1" si="10"/>
        <v>6</v>
      </c>
      <c r="V121">
        <f t="shared" ca="1" si="11"/>
        <v>26</v>
      </c>
      <c r="W121" t="s">
        <v>179</v>
      </c>
      <c r="X121" t="s">
        <v>675</v>
      </c>
    </row>
    <row r="122" spans="1:24" x14ac:dyDescent="0.2">
      <c r="A122" t="s">
        <v>152</v>
      </c>
      <c r="B122" t="str" cm="1">
        <f t="array" aca="1" ref="B122" ca="1">INDIRECT("r"&amp;RANDBETWEEN(2,3))</f>
        <v>女</v>
      </c>
      <c r="C122" t="str" cm="1">
        <f t="array" aca="1" ref="C122" ca="1">INDIRECT("s"&amp;RANDBETWEEN(2,19))</f>
        <v>四川省</v>
      </c>
      <c r="D122" t="s">
        <v>161</v>
      </c>
      <c r="E122" t="str">
        <f t="shared" ca="1" si="6"/>
        <v>1998-10-13</v>
      </c>
      <c r="F122" t="str">
        <f t="shared" ca="1" si="7"/>
        <v>本科</v>
      </c>
      <c r="G122" t="str" cm="1">
        <f t="array" aca="1" ref="G122" ca="1">INDIRECT("w"&amp;RANDBETWEEN(2,1431))</f>
        <v>成都学院</v>
      </c>
      <c r="H122" t="str" cm="1">
        <f t="array" aca="1" ref="H122" ca="1">IF(F122="本科",INDIRECT("y"&amp;RANDBETWEEN(3,12)),INDIRECT("z"&amp;RANDBETWEEN(3,11)))</f>
        <v>信息与计算科学</v>
      </c>
      <c r="I122" t="str">
        <f t="shared" ca="1" si="8"/>
        <v>数据分析</v>
      </c>
      <c r="J122" t="str" cm="1">
        <f t="array" aca="1" ref="J122" ca="1">_xlfn.IFS(I122=$O$3,INDIRECT("ac"&amp;RANDBETWEEN(2,7)),I122=$O$2,INDIRECT("ad"&amp;RANDBETWEEN(2,10)),I122=$O$4,INDIRECT("ab"&amp;RANDBETWEEN(2,35)),I122=$O$5,INDIRECT("ae"&amp;RANDBETWEEN(2,7)),I122=$O$6,INDIRECT("af"&amp;RANDBETWEEN(2,7)),I122=$O$7,INDIRECT("ab"&amp;RANDBETWEEN(2,35)))</f>
        <v>Python,Excel</v>
      </c>
      <c r="K122">
        <f ca="1">IF(F122="本科",2021-T122-22,2021-T122-21)</f>
        <v>1</v>
      </c>
      <c r="T122">
        <f t="shared" ca="1" si="9"/>
        <v>1998</v>
      </c>
      <c r="U122">
        <f t="shared" ca="1" si="10"/>
        <v>10</v>
      </c>
      <c r="V122">
        <f t="shared" ca="1" si="11"/>
        <v>13</v>
      </c>
      <c r="W122" t="s">
        <v>236</v>
      </c>
      <c r="X122" t="s">
        <v>675</v>
      </c>
    </row>
    <row r="123" spans="1:24" x14ac:dyDescent="0.2">
      <c r="A123" t="s">
        <v>153</v>
      </c>
      <c r="B123" t="str" cm="1">
        <f t="array" aca="1" ref="B123" ca="1">INDIRECT("r"&amp;RANDBETWEEN(2,3))</f>
        <v>男</v>
      </c>
      <c r="C123" t="str" cm="1">
        <f t="array" aca="1" ref="C123" ca="1">INDIRECT("s"&amp;RANDBETWEEN(2,19))</f>
        <v>河北省</v>
      </c>
      <c r="D123" t="s">
        <v>161</v>
      </c>
      <c r="E123" t="str">
        <f t="shared" ca="1" si="6"/>
        <v>1992-7-24</v>
      </c>
      <c r="F123" t="str">
        <f t="shared" ca="1" si="7"/>
        <v>高职专科</v>
      </c>
      <c r="G123" t="str" cm="1">
        <f t="array" aca="1" ref="G123" ca="1">INDIRECT("w"&amp;RANDBETWEEN(2,1431))</f>
        <v>包头职业技术</v>
      </c>
      <c r="H123" t="str" cm="1">
        <f t="array" aca="1" ref="H123" ca="1">IF(F123="本科",INDIRECT("y"&amp;RANDBETWEEN(3,12)),INDIRECT("z"&amp;RANDBETWEEN(3,11)))</f>
        <v>移动商务</v>
      </c>
      <c r="I123" t="str">
        <f t="shared" ca="1" si="8"/>
        <v>电子商务运营</v>
      </c>
      <c r="J123" t="str" cm="1">
        <f t="array" aca="1" ref="J123" ca="1">_xlfn.IFS(I123=$O$3,INDIRECT("ac"&amp;RANDBETWEEN(2,7)),I123=$O$2,INDIRECT("ad"&amp;RANDBETWEEN(2,10)),I123=$O$4,INDIRECT("ab"&amp;RANDBETWEEN(2,35)),I123=$O$5,INDIRECT("ae"&amp;RANDBETWEEN(2,7)),I123=$O$6,INDIRECT("af"&amp;RANDBETWEEN(2,7)),I123=$O$7,INDIRECT("ab"&amp;RANDBETWEEN(2,35)))</f>
        <v>跨境电商运营，店铺运营，平台商家运营</v>
      </c>
      <c r="K123">
        <f ca="1">IF(F123="本科",2021-T123-22,2021-T123-21)</f>
        <v>8</v>
      </c>
      <c r="T123">
        <f t="shared" ca="1" si="9"/>
        <v>1992</v>
      </c>
      <c r="U123">
        <f t="shared" ca="1" si="10"/>
        <v>7</v>
      </c>
      <c r="V123">
        <f t="shared" ca="1" si="11"/>
        <v>24</v>
      </c>
      <c r="W123" t="s">
        <v>237</v>
      </c>
      <c r="X123" t="s">
        <v>675</v>
      </c>
    </row>
    <row r="124" spans="1:24" x14ac:dyDescent="0.2">
      <c r="A124" t="s">
        <v>154</v>
      </c>
      <c r="B124" t="str" cm="1">
        <f t="array" aca="1" ref="B124" ca="1">INDIRECT("r"&amp;RANDBETWEEN(2,3))</f>
        <v>女</v>
      </c>
      <c r="C124" t="str" cm="1">
        <f t="array" aca="1" ref="C124" ca="1">INDIRECT("s"&amp;RANDBETWEEN(2,19))</f>
        <v>浙江省</v>
      </c>
      <c r="D124" t="s">
        <v>161</v>
      </c>
      <c r="E124" t="str">
        <f t="shared" ca="1" si="6"/>
        <v>1994-12-15</v>
      </c>
      <c r="F124" t="str">
        <f t="shared" ca="1" si="7"/>
        <v>本科</v>
      </c>
      <c r="G124" t="str" cm="1">
        <f t="array" aca="1" ref="G124" ca="1">INDIRECT("w"&amp;RANDBETWEEN(2,1431))</f>
        <v>湖北工程学院</v>
      </c>
      <c r="H124" t="str" cm="1">
        <f t="array" aca="1" ref="H124" ca="1">IF(F124="本科",INDIRECT("y"&amp;RANDBETWEEN(3,12)),INDIRECT("z"&amp;RANDBETWEEN(3,11)))</f>
        <v>新媒体技术</v>
      </c>
      <c r="I124" t="str">
        <f t="shared" ca="1" si="8"/>
        <v>新媒体运营</v>
      </c>
      <c r="J124" t="str" cm="1">
        <f t="array" aca="1" ref="J124" ca="1">_xlfn.IFS(I124=$O$3,INDIRECT("ac"&amp;RANDBETWEEN(2,7)),I124=$O$2,INDIRECT("ad"&amp;RANDBETWEEN(2,10)),I124=$O$4,INDIRECT("ab"&amp;RANDBETWEEN(2,35)),I124=$O$5,INDIRECT("ae"&amp;RANDBETWEEN(2,7)),I124=$O$6,INDIRECT("af"&amp;RANDBETWEEN(2,7)),I124=$O$7,INDIRECT("ab"&amp;RANDBETWEEN(2,35)))</f>
        <v>新媒体运营,电商运营</v>
      </c>
      <c r="K124">
        <f ca="1">IF(F124="本科",2021-T124-22,2021-T124-21)</f>
        <v>5</v>
      </c>
      <c r="T124">
        <f t="shared" ca="1" si="9"/>
        <v>1994</v>
      </c>
      <c r="U124">
        <f t="shared" ca="1" si="10"/>
        <v>12</v>
      </c>
      <c r="V124">
        <f t="shared" ca="1" si="11"/>
        <v>15</v>
      </c>
      <c r="W124" t="s">
        <v>238</v>
      </c>
      <c r="X124" t="s">
        <v>675</v>
      </c>
    </row>
    <row r="125" spans="1:24" x14ac:dyDescent="0.2">
      <c r="A125" t="s">
        <v>155</v>
      </c>
      <c r="B125" t="str" cm="1">
        <f t="array" aca="1" ref="B125" ca="1">INDIRECT("r"&amp;RANDBETWEEN(2,3))</f>
        <v>女</v>
      </c>
      <c r="C125" t="str" cm="1">
        <f t="array" aca="1" ref="C125" ca="1">INDIRECT("s"&amp;RANDBETWEEN(2,19))</f>
        <v>黑龙江省</v>
      </c>
      <c r="D125" t="s">
        <v>161</v>
      </c>
      <c r="E125" t="str">
        <f t="shared" ca="1" si="6"/>
        <v>1995-3-3</v>
      </c>
      <c r="F125" t="str">
        <f t="shared" ca="1" si="7"/>
        <v>高职专科</v>
      </c>
      <c r="G125" t="str" cm="1">
        <f t="array" aca="1" ref="G125" ca="1">INDIRECT("w"&amp;RANDBETWEEN(2,1431))</f>
        <v>呼和浩特职业</v>
      </c>
      <c r="H125" t="str" cm="1">
        <f t="array" aca="1" ref="H125" ca="1">IF(F125="本科",INDIRECT("y"&amp;RANDBETWEEN(3,12)),INDIRECT("z"&amp;RANDBETWEEN(3,11)))</f>
        <v>统计与大数据分析</v>
      </c>
      <c r="I125" t="str">
        <f t="shared" ca="1" si="8"/>
        <v>数据分析</v>
      </c>
      <c r="J125" t="str" cm="1">
        <f t="array" aca="1" ref="J125" ca="1">_xlfn.IFS(I125=$O$3,INDIRECT("ac"&amp;RANDBETWEEN(2,7)),I125=$O$2,INDIRECT("ad"&amp;RANDBETWEEN(2,10)),I125=$O$4,INDIRECT("ab"&amp;RANDBETWEEN(2,35)),I125=$O$5,INDIRECT("ae"&amp;RANDBETWEEN(2,7)),I125=$O$6,INDIRECT("af"&amp;RANDBETWEEN(2,7)),I125=$O$7,INDIRECT("ab"&amp;RANDBETWEEN(2,35)))</f>
        <v>数学/统计学专业,项目型产品</v>
      </c>
      <c r="K125">
        <f ca="1">IF(F125="本科",2021-T125-22,2021-T125-21)</f>
        <v>5</v>
      </c>
      <c r="T125">
        <f t="shared" ca="1" si="9"/>
        <v>1995</v>
      </c>
      <c r="U125">
        <f t="shared" ca="1" si="10"/>
        <v>3</v>
      </c>
      <c r="V125">
        <f t="shared" ca="1" si="11"/>
        <v>3</v>
      </c>
      <c r="W125" t="s">
        <v>239</v>
      </c>
      <c r="X125" t="s">
        <v>675</v>
      </c>
    </row>
    <row r="126" spans="1:24" x14ac:dyDescent="0.2">
      <c r="W126" t="s">
        <v>240</v>
      </c>
      <c r="X126" t="s">
        <v>675</v>
      </c>
    </row>
    <row r="127" spans="1:24" x14ac:dyDescent="0.2">
      <c r="W127" t="s">
        <v>236</v>
      </c>
      <c r="X127" t="s">
        <v>675</v>
      </c>
    </row>
    <row r="128" spans="1:24" x14ac:dyDescent="0.2">
      <c r="W128" t="s">
        <v>241</v>
      </c>
      <c r="X128" t="s">
        <v>675</v>
      </c>
    </row>
    <row r="129" spans="23:24" x14ac:dyDescent="0.2">
      <c r="W129" t="s">
        <v>241</v>
      </c>
      <c r="X129" t="s">
        <v>675</v>
      </c>
    </row>
    <row r="130" spans="23:24" x14ac:dyDescent="0.2">
      <c r="W130" t="s">
        <v>242</v>
      </c>
      <c r="X130" t="s">
        <v>675</v>
      </c>
    </row>
    <row r="131" spans="23:24" x14ac:dyDescent="0.2">
      <c r="W131" t="s">
        <v>243</v>
      </c>
      <c r="X131" t="s">
        <v>675</v>
      </c>
    </row>
    <row r="132" spans="23:24" x14ac:dyDescent="0.2">
      <c r="W132" t="s">
        <v>244</v>
      </c>
      <c r="X132" t="s">
        <v>675</v>
      </c>
    </row>
    <row r="133" spans="23:24" x14ac:dyDescent="0.2">
      <c r="W133" t="s">
        <v>245</v>
      </c>
      <c r="X133" t="s">
        <v>675</v>
      </c>
    </row>
    <row r="134" spans="23:24" x14ac:dyDescent="0.2">
      <c r="W134" t="s">
        <v>246</v>
      </c>
      <c r="X134" t="s">
        <v>675</v>
      </c>
    </row>
    <row r="135" spans="23:24" x14ac:dyDescent="0.2">
      <c r="W135" t="s">
        <v>247</v>
      </c>
      <c r="X135" t="s">
        <v>675</v>
      </c>
    </row>
    <row r="136" spans="23:24" x14ac:dyDescent="0.2">
      <c r="W136" t="s">
        <v>248</v>
      </c>
      <c r="X136" t="s">
        <v>675</v>
      </c>
    </row>
    <row r="137" spans="23:24" x14ac:dyDescent="0.2">
      <c r="W137" t="s">
        <v>249</v>
      </c>
      <c r="X137" t="s">
        <v>675</v>
      </c>
    </row>
    <row r="138" spans="23:24" x14ac:dyDescent="0.2">
      <c r="W138" t="s">
        <v>250</v>
      </c>
      <c r="X138" t="s">
        <v>675</v>
      </c>
    </row>
    <row r="139" spans="23:24" x14ac:dyDescent="0.2">
      <c r="W139" t="s">
        <v>251</v>
      </c>
      <c r="X139" t="s">
        <v>675</v>
      </c>
    </row>
    <row r="140" spans="23:24" x14ac:dyDescent="0.2">
      <c r="W140" t="s">
        <v>252</v>
      </c>
      <c r="X140" t="s">
        <v>675</v>
      </c>
    </row>
    <row r="141" spans="23:24" x14ac:dyDescent="0.2">
      <c r="W141" t="s">
        <v>253</v>
      </c>
      <c r="X141" t="s">
        <v>675</v>
      </c>
    </row>
    <row r="142" spans="23:24" x14ac:dyDescent="0.2">
      <c r="W142" t="s">
        <v>254</v>
      </c>
      <c r="X142" t="s">
        <v>675</v>
      </c>
    </row>
    <row r="143" spans="23:24" x14ac:dyDescent="0.2">
      <c r="W143" t="s">
        <v>255</v>
      </c>
      <c r="X143" t="s">
        <v>675</v>
      </c>
    </row>
    <row r="144" spans="23:24" x14ac:dyDescent="0.2">
      <c r="W144" t="s">
        <v>256</v>
      </c>
      <c r="X144" t="s">
        <v>675</v>
      </c>
    </row>
    <row r="145" spans="23:24" x14ac:dyDescent="0.2">
      <c r="W145" t="s">
        <v>230</v>
      </c>
      <c r="X145" t="s">
        <v>675</v>
      </c>
    </row>
    <row r="146" spans="23:24" x14ac:dyDescent="0.2">
      <c r="W146" t="s">
        <v>231</v>
      </c>
      <c r="X146" t="s">
        <v>675</v>
      </c>
    </row>
    <row r="147" spans="23:24" x14ac:dyDescent="0.2">
      <c r="W147" t="s">
        <v>232</v>
      </c>
      <c r="X147" t="s">
        <v>675</v>
      </c>
    </row>
    <row r="148" spans="23:24" x14ac:dyDescent="0.2">
      <c r="W148" t="s">
        <v>233</v>
      </c>
      <c r="X148" t="s">
        <v>675</v>
      </c>
    </row>
    <row r="149" spans="23:24" x14ac:dyDescent="0.2">
      <c r="W149" t="s">
        <v>234</v>
      </c>
      <c r="X149" t="s">
        <v>675</v>
      </c>
    </row>
    <row r="150" spans="23:24" x14ac:dyDescent="0.2">
      <c r="W150" t="s">
        <v>235</v>
      </c>
      <c r="X150" t="s">
        <v>675</v>
      </c>
    </row>
    <row r="151" spans="23:24" x14ac:dyDescent="0.2">
      <c r="W151" t="s">
        <v>179</v>
      </c>
      <c r="X151" t="s">
        <v>675</v>
      </c>
    </row>
    <row r="152" spans="23:24" x14ac:dyDescent="0.2">
      <c r="W152" t="s">
        <v>236</v>
      </c>
      <c r="X152" t="s">
        <v>675</v>
      </c>
    </row>
    <row r="153" spans="23:24" x14ac:dyDescent="0.2">
      <c r="W153" t="s">
        <v>237</v>
      </c>
      <c r="X153" t="s">
        <v>675</v>
      </c>
    </row>
    <row r="154" spans="23:24" x14ac:dyDescent="0.2">
      <c r="W154" t="s">
        <v>238</v>
      </c>
      <c r="X154" t="s">
        <v>675</v>
      </c>
    </row>
    <row r="155" spans="23:24" x14ac:dyDescent="0.2">
      <c r="W155" t="s">
        <v>239</v>
      </c>
      <c r="X155" t="s">
        <v>675</v>
      </c>
    </row>
    <row r="156" spans="23:24" x14ac:dyDescent="0.2">
      <c r="W156" t="s">
        <v>240</v>
      </c>
      <c r="X156" t="s">
        <v>675</v>
      </c>
    </row>
    <row r="157" spans="23:24" x14ac:dyDescent="0.2">
      <c r="W157" t="s">
        <v>236</v>
      </c>
      <c r="X157" t="s">
        <v>675</v>
      </c>
    </row>
    <row r="158" spans="23:24" x14ac:dyDescent="0.2">
      <c r="W158" t="s">
        <v>241</v>
      </c>
      <c r="X158" t="s">
        <v>675</v>
      </c>
    </row>
    <row r="159" spans="23:24" x14ac:dyDescent="0.2">
      <c r="W159" t="s">
        <v>241</v>
      </c>
      <c r="X159" t="s">
        <v>675</v>
      </c>
    </row>
    <row r="160" spans="23:24" x14ac:dyDescent="0.2">
      <c r="W160" t="s">
        <v>242</v>
      </c>
      <c r="X160" t="s">
        <v>675</v>
      </c>
    </row>
    <row r="161" spans="23:24" x14ac:dyDescent="0.2">
      <c r="W161" t="s">
        <v>243</v>
      </c>
      <c r="X161" t="s">
        <v>675</v>
      </c>
    </row>
    <row r="162" spans="23:24" x14ac:dyDescent="0.2">
      <c r="W162" t="s">
        <v>244</v>
      </c>
      <c r="X162" t="s">
        <v>675</v>
      </c>
    </row>
    <row r="163" spans="23:24" x14ac:dyDescent="0.2">
      <c r="W163" t="s">
        <v>245</v>
      </c>
      <c r="X163" t="s">
        <v>675</v>
      </c>
    </row>
    <row r="164" spans="23:24" x14ac:dyDescent="0.2">
      <c r="W164" t="s">
        <v>246</v>
      </c>
      <c r="X164" t="s">
        <v>675</v>
      </c>
    </row>
    <row r="165" spans="23:24" x14ac:dyDescent="0.2">
      <c r="W165" t="s">
        <v>247</v>
      </c>
      <c r="X165" t="s">
        <v>675</v>
      </c>
    </row>
    <row r="166" spans="23:24" x14ac:dyDescent="0.2">
      <c r="W166" t="s">
        <v>248</v>
      </c>
      <c r="X166" t="s">
        <v>675</v>
      </c>
    </row>
    <row r="167" spans="23:24" x14ac:dyDescent="0.2">
      <c r="W167" t="s">
        <v>249</v>
      </c>
      <c r="X167" t="s">
        <v>675</v>
      </c>
    </row>
    <row r="168" spans="23:24" x14ac:dyDescent="0.2">
      <c r="W168" t="s">
        <v>250</v>
      </c>
      <c r="X168" t="s">
        <v>675</v>
      </c>
    </row>
    <row r="169" spans="23:24" x14ac:dyDescent="0.2">
      <c r="W169" t="s">
        <v>251</v>
      </c>
      <c r="X169" t="s">
        <v>675</v>
      </c>
    </row>
    <row r="170" spans="23:24" x14ac:dyDescent="0.2">
      <c r="W170" t="s">
        <v>252</v>
      </c>
      <c r="X170" t="s">
        <v>675</v>
      </c>
    </row>
    <row r="171" spans="23:24" x14ac:dyDescent="0.2">
      <c r="W171" t="s">
        <v>253</v>
      </c>
      <c r="X171" t="s">
        <v>675</v>
      </c>
    </row>
    <row r="172" spans="23:24" x14ac:dyDescent="0.2">
      <c r="W172" t="s">
        <v>254</v>
      </c>
      <c r="X172" t="s">
        <v>675</v>
      </c>
    </row>
    <row r="173" spans="23:24" x14ac:dyDescent="0.2">
      <c r="W173" t="s">
        <v>255</v>
      </c>
      <c r="X173" t="s">
        <v>675</v>
      </c>
    </row>
    <row r="174" spans="23:24" x14ac:dyDescent="0.2">
      <c r="W174" t="s">
        <v>256</v>
      </c>
      <c r="X174" t="s">
        <v>675</v>
      </c>
    </row>
    <row r="175" spans="23:24" x14ac:dyDescent="0.2">
      <c r="W175" t="s">
        <v>257</v>
      </c>
      <c r="X175" t="s">
        <v>675</v>
      </c>
    </row>
    <row r="176" spans="23:24" x14ac:dyDescent="0.2">
      <c r="W176" t="s">
        <v>258</v>
      </c>
      <c r="X176" t="s">
        <v>675</v>
      </c>
    </row>
    <row r="177" spans="23:24" x14ac:dyDescent="0.2">
      <c r="W177" t="s">
        <v>259</v>
      </c>
      <c r="X177" t="s">
        <v>675</v>
      </c>
    </row>
    <row r="178" spans="23:24" x14ac:dyDescent="0.2">
      <c r="W178" t="s">
        <v>260</v>
      </c>
      <c r="X178" t="s">
        <v>675</v>
      </c>
    </row>
    <row r="179" spans="23:24" x14ac:dyDescent="0.2">
      <c r="W179" t="s">
        <v>261</v>
      </c>
      <c r="X179" t="s">
        <v>675</v>
      </c>
    </row>
    <row r="180" spans="23:24" x14ac:dyDescent="0.2">
      <c r="W180" t="s">
        <v>262</v>
      </c>
      <c r="X180" t="s">
        <v>675</v>
      </c>
    </row>
    <row r="181" spans="23:24" x14ac:dyDescent="0.2">
      <c r="W181" t="s">
        <v>263</v>
      </c>
      <c r="X181" t="s">
        <v>675</v>
      </c>
    </row>
    <row r="182" spans="23:24" x14ac:dyDescent="0.2">
      <c r="W182" t="s">
        <v>264</v>
      </c>
      <c r="X182" t="s">
        <v>675</v>
      </c>
    </row>
    <row r="183" spans="23:24" x14ac:dyDescent="0.2">
      <c r="W183" t="s">
        <v>265</v>
      </c>
      <c r="X183" t="s">
        <v>675</v>
      </c>
    </row>
    <row r="184" spans="23:24" x14ac:dyDescent="0.2">
      <c r="W184" t="s">
        <v>266</v>
      </c>
      <c r="X184" t="s">
        <v>675</v>
      </c>
    </row>
    <row r="185" spans="23:24" x14ac:dyDescent="0.2">
      <c r="W185" t="s">
        <v>267</v>
      </c>
      <c r="X185" t="s">
        <v>675</v>
      </c>
    </row>
    <row r="186" spans="23:24" x14ac:dyDescent="0.2">
      <c r="W186" t="s">
        <v>268</v>
      </c>
      <c r="X186" t="s">
        <v>675</v>
      </c>
    </row>
    <row r="187" spans="23:24" x14ac:dyDescent="0.2">
      <c r="W187" t="s">
        <v>269</v>
      </c>
      <c r="X187" t="s">
        <v>675</v>
      </c>
    </row>
    <row r="188" spans="23:24" x14ac:dyDescent="0.2">
      <c r="W188" t="s">
        <v>270</v>
      </c>
      <c r="X188" t="s">
        <v>675</v>
      </c>
    </row>
    <row r="189" spans="23:24" x14ac:dyDescent="0.2">
      <c r="W189" t="s">
        <v>271</v>
      </c>
      <c r="X189" t="s">
        <v>675</v>
      </c>
    </row>
    <row r="190" spans="23:24" x14ac:dyDescent="0.2">
      <c r="W190" t="s">
        <v>272</v>
      </c>
      <c r="X190" t="s">
        <v>675</v>
      </c>
    </row>
    <row r="191" spans="23:24" x14ac:dyDescent="0.2">
      <c r="W191" t="s">
        <v>273</v>
      </c>
      <c r="X191" t="s">
        <v>675</v>
      </c>
    </row>
    <row r="192" spans="23:24" x14ac:dyDescent="0.2">
      <c r="W192" t="s">
        <v>274</v>
      </c>
      <c r="X192" t="s">
        <v>675</v>
      </c>
    </row>
    <row r="193" spans="23:24" x14ac:dyDescent="0.2">
      <c r="W193" t="s">
        <v>244</v>
      </c>
      <c r="X193" t="s">
        <v>675</v>
      </c>
    </row>
    <row r="194" spans="23:24" x14ac:dyDescent="0.2">
      <c r="W194" t="s">
        <v>245</v>
      </c>
      <c r="X194" t="s">
        <v>675</v>
      </c>
    </row>
    <row r="195" spans="23:24" x14ac:dyDescent="0.2">
      <c r="W195" t="s">
        <v>246</v>
      </c>
      <c r="X195" t="s">
        <v>675</v>
      </c>
    </row>
    <row r="196" spans="23:24" x14ac:dyDescent="0.2">
      <c r="W196" t="s">
        <v>247</v>
      </c>
      <c r="X196" t="s">
        <v>675</v>
      </c>
    </row>
    <row r="197" spans="23:24" x14ac:dyDescent="0.2">
      <c r="W197" t="s">
        <v>248</v>
      </c>
      <c r="X197" t="s">
        <v>675</v>
      </c>
    </row>
    <row r="198" spans="23:24" x14ac:dyDescent="0.2">
      <c r="W198" t="s">
        <v>249</v>
      </c>
      <c r="X198" t="s">
        <v>675</v>
      </c>
    </row>
    <row r="199" spans="23:24" x14ac:dyDescent="0.2">
      <c r="W199" t="s">
        <v>250</v>
      </c>
      <c r="X199" t="s">
        <v>675</v>
      </c>
    </row>
    <row r="200" spans="23:24" x14ac:dyDescent="0.2">
      <c r="W200" t="s">
        <v>251</v>
      </c>
      <c r="X200" t="s">
        <v>675</v>
      </c>
    </row>
    <row r="201" spans="23:24" x14ac:dyDescent="0.2">
      <c r="W201" t="s">
        <v>252</v>
      </c>
      <c r="X201" t="s">
        <v>675</v>
      </c>
    </row>
    <row r="202" spans="23:24" x14ac:dyDescent="0.2">
      <c r="W202" t="s">
        <v>253</v>
      </c>
      <c r="X202" t="s">
        <v>675</v>
      </c>
    </row>
    <row r="203" spans="23:24" x14ac:dyDescent="0.2">
      <c r="W203" t="s">
        <v>254</v>
      </c>
      <c r="X203" t="s">
        <v>675</v>
      </c>
    </row>
    <row r="204" spans="23:24" x14ac:dyDescent="0.2">
      <c r="W204" t="s">
        <v>255</v>
      </c>
      <c r="X204" t="s">
        <v>675</v>
      </c>
    </row>
    <row r="205" spans="23:24" x14ac:dyDescent="0.2">
      <c r="W205" t="s">
        <v>256</v>
      </c>
      <c r="X205" t="s">
        <v>675</v>
      </c>
    </row>
    <row r="206" spans="23:24" x14ac:dyDescent="0.2">
      <c r="W206" t="s">
        <v>257</v>
      </c>
      <c r="X206" t="s">
        <v>675</v>
      </c>
    </row>
    <row r="207" spans="23:24" x14ac:dyDescent="0.2">
      <c r="W207" t="s">
        <v>258</v>
      </c>
      <c r="X207" t="s">
        <v>675</v>
      </c>
    </row>
    <row r="208" spans="23:24" x14ac:dyDescent="0.2">
      <c r="W208" t="s">
        <v>259</v>
      </c>
      <c r="X208" t="s">
        <v>675</v>
      </c>
    </row>
    <row r="209" spans="23:24" x14ac:dyDescent="0.2">
      <c r="W209" t="s">
        <v>260</v>
      </c>
      <c r="X209" t="s">
        <v>675</v>
      </c>
    </row>
    <row r="210" spans="23:24" x14ac:dyDescent="0.2">
      <c r="W210" t="s">
        <v>261</v>
      </c>
      <c r="X210" t="s">
        <v>675</v>
      </c>
    </row>
    <row r="211" spans="23:24" x14ac:dyDescent="0.2">
      <c r="W211" t="s">
        <v>262</v>
      </c>
      <c r="X211" t="s">
        <v>675</v>
      </c>
    </row>
    <row r="212" spans="23:24" x14ac:dyDescent="0.2">
      <c r="W212" t="s">
        <v>263</v>
      </c>
      <c r="X212" t="s">
        <v>675</v>
      </c>
    </row>
    <row r="213" spans="23:24" x14ac:dyDescent="0.2">
      <c r="W213" t="s">
        <v>264</v>
      </c>
      <c r="X213" t="s">
        <v>675</v>
      </c>
    </row>
    <row r="214" spans="23:24" x14ac:dyDescent="0.2">
      <c r="W214" t="s">
        <v>265</v>
      </c>
      <c r="X214" t="s">
        <v>675</v>
      </c>
    </row>
    <row r="215" spans="23:24" x14ac:dyDescent="0.2">
      <c r="W215" t="s">
        <v>266</v>
      </c>
      <c r="X215" t="s">
        <v>675</v>
      </c>
    </row>
    <row r="216" spans="23:24" x14ac:dyDescent="0.2">
      <c r="W216" t="s">
        <v>267</v>
      </c>
      <c r="X216" t="s">
        <v>675</v>
      </c>
    </row>
    <row r="217" spans="23:24" x14ac:dyDescent="0.2">
      <c r="W217" t="s">
        <v>268</v>
      </c>
      <c r="X217" t="s">
        <v>675</v>
      </c>
    </row>
    <row r="218" spans="23:24" x14ac:dyDescent="0.2">
      <c r="W218" t="s">
        <v>269</v>
      </c>
      <c r="X218" t="s">
        <v>675</v>
      </c>
    </row>
    <row r="219" spans="23:24" x14ac:dyDescent="0.2">
      <c r="W219" t="s">
        <v>270</v>
      </c>
      <c r="X219" t="s">
        <v>675</v>
      </c>
    </row>
    <row r="220" spans="23:24" x14ac:dyDescent="0.2">
      <c r="W220" t="s">
        <v>271</v>
      </c>
      <c r="X220" t="s">
        <v>675</v>
      </c>
    </row>
    <row r="221" spans="23:24" x14ac:dyDescent="0.2">
      <c r="W221" t="s">
        <v>272</v>
      </c>
      <c r="X221" t="s">
        <v>675</v>
      </c>
    </row>
    <row r="222" spans="23:24" x14ac:dyDescent="0.2">
      <c r="W222" t="s">
        <v>273</v>
      </c>
      <c r="X222" t="s">
        <v>675</v>
      </c>
    </row>
    <row r="223" spans="23:24" x14ac:dyDescent="0.2">
      <c r="W223" t="s">
        <v>274</v>
      </c>
      <c r="X223" t="s">
        <v>675</v>
      </c>
    </row>
    <row r="224" spans="23:24" x14ac:dyDescent="0.2">
      <c r="W224" t="s">
        <v>275</v>
      </c>
      <c r="X224" t="s">
        <v>675</v>
      </c>
    </row>
    <row r="225" spans="23:24" x14ac:dyDescent="0.2">
      <c r="W225" t="s">
        <v>276</v>
      </c>
      <c r="X225" t="s">
        <v>675</v>
      </c>
    </row>
    <row r="226" spans="23:24" x14ac:dyDescent="0.2">
      <c r="W226" t="s">
        <v>277</v>
      </c>
      <c r="X226" t="s">
        <v>675</v>
      </c>
    </row>
    <row r="227" spans="23:24" x14ac:dyDescent="0.2">
      <c r="W227" t="s">
        <v>278</v>
      </c>
      <c r="X227" t="s">
        <v>675</v>
      </c>
    </row>
    <row r="228" spans="23:24" x14ac:dyDescent="0.2">
      <c r="W228" t="s">
        <v>279</v>
      </c>
      <c r="X228" t="s">
        <v>675</v>
      </c>
    </row>
    <row r="229" spans="23:24" x14ac:dyDescent="0.2">
      <c r="W229" t="s">
        <v>280</v>
      </c>
      <c r="X229" t="s">
        <v>675</v>
      </c>
    </row>
    <row r="230" spans="23:24" x14ac:dyDescent="0.2">
      <c r="W230" t="s">
        <v>281</v>
      </c>
      <c r="X230" t="s">
        <v>675</v>
      </c>
    </row>
    <row r="231" spans="23:24" x14ac:dyDescent="0.2">
      <c r="W231" t="s">
        <v>282</v>
      </c>
      <c r="X231" t="s">
        <v>675</v>
      </c>
    </row>
    <row r="232" spans="23:24" x14ac:dyDescent="0.2">
      <c r="W232" t="s">
        <v>252</v>
      </c>
      <c r="X232" t="s">
        <v>675</v>
      </c>
    </row>
    <row r="233" spans="23:24" x14ac:dyDescent="0.2">
      <c r="W233" t="s">
        <v>253</v>
      </c>
      <c r="X233" t="s">
        <v>675</v>
      </c>
    </row>
    <row r="234" spans="23:24" x14ac:dyDescent="0.2">
      <c r="W234" t="s">
        <v>254</v>
      </c>
      <c r="X234" t="s">
        <v>675</v>
      </c>
    </row>
    <row r="235" spans="23:24" x14ac:dyDescent="0.2">
      <c r="W235" t="s">
        <v>255</v>
      </c>
      <c r="X235" t="s">
        <v>675</v>
      </c>
    </row>
    <row r="236" spans="23:24" x14ac:dyDescent="0.2">
      <c r="W236" t="s">
        <v>256</v>
      </c>
      <c r="X236" t="s">
        <v>675</v>
      </c>
    </row>
    <row r="237" spans="23:24" x14ac:dyDescent="0.2">
      <c r="W237" t="s">
        <v>257</v>
      </c>
      <c r="X237" t="s">
        <v>675</v>
      </c>
    </row>
    <row r="238" spans="23:24" x14ac:dyDescent="0.2">
      <c r="W238" t="s">
        <v>258</v>
      </c>
      <c r="X238" t="s">
        <v>675</v>
      </c>
    </row>
    <row r="239" spans="23:24" x14ac:dyDescent="0.2">
      <c r="W239" t="s">
        <v>259</v>
      </c>
      <c r="X239" t="s">
        <v>675</v>
      </c>
    </row>
    <row r="240" spans="23:24" x14ac:dyDescent="0.2">
      <c r="W240" t="s">
        <v>260</v>
      </c>
      <c r="X240" t="s">
        <v>675</v>
      </c>
    </row>
    <row r="241" spans="23:24" x14ac:dyDescent="0.2">
      <c r="W241" t="s">
        <v>261</v>
      </c>
      <c r="X241" t="s">
        <v>675</v>
      </c>
    </row>
    <row r="242" spans="23:24" x14ac:dyDescent="0.2">
      <c r="W242" t="s">
        <v>262</v>
      </c>
      <c r="X242" t="s">
        <v>675</v>
      </c>
    </row>
    <row r="243" spans="23:24" x14ac:dyDescent="0.2">
      <c r="W243" t="s">
        <v>263</v>
      </c>
      <c r="X243" t="s">
        <v>675</v>
      </c>
    </row>
    <row r="244" spans="23:24" x14ac:dyDescent="0.2">
      <c r="W244" t="s">
        <v>264</v>
      </c>
      <c r="X244" t="s">
        <v>675</v>
      </c>
    </row>
    <row r="245" spans="23:24" x14ac:dyDescent="0.2">
      <c r="W245" t="s">
        <v>265</v>
      </c>
      <c r="X245" t="s">
        <v>675</v>
      </c>
    </row>
    <row r="246" spans="23:24" x14ac:dyDescent="0.2">
      <c r="W246" t="s">
        <v>266</v>
      </c>
      <c r="X246" t="s">
        <v>675</v>
      </c>
    </row>
    <row r="247" spans="23:24" x14ac:dyDescent="0.2">
      <c r="W247" t="s">
        <v>267</v>
      </c>
      <c r="X247" t="s">
        <v>675</v>
      </c>
    </row>
    <row r="248" spans="23:24" x14ac:dyDescent="0.2">
      <c r="W248" t="s">
        <v>268</v>
      </c>
      <c r="X248" t="s">
        <v>675</v>
      </c>
    </row>
    <row r="249" spans="23:24" x14ac:dyDescent="0.2">
      <c r="W249" t="s">
        <v>269</v>
      </c>
      <c r="X249" t="s">
        <v>675</v>
      </c>
    </row>
    <row r="250" spans="23:24" x14ac:dyDescent="0.2">
      <c r="W250" t="s">
        <v>270</v>
      </c>
      <c r="X250" t="s">
        <v>675</v>
      </c>
    </row>
    <row r="251" spans="23:24" x14ac:dyDescent="0.2">
      <c r="W251" t="s">
        <v>271</v>
      </c>
      <c r="X251" t="s">
        <v>675</v>
      </c>
    </row>
    <row r="252" spans="23:24" x14ac:dyDescent="0.2">
      <c r="W252" t="s">
        <v>272</v>
      </c>
      <c r="X252" t="s">
        <v>675</v>
      </c>
    </row>
    <row r="253" spans="23:24" x14ac:dyDescent="0.2">
      <c r="W253" t="s">
        <v>273</v>
      </c>
      <c r="X253" t="s">
        <v>675</v>
      </c>
    </row>
    <row r="254" spans="23:24" x14ac:dyDescent="0.2">
      <c r="W254" t="s">
        <v>274</v>
      </c>
      <c r="X254" t="s">
        <v>675</v>
      </c>
    </row>
    <row r="255" spans="23:24" x14ac:dyDescent="0.2">
      <c r="W255" t="s">
        <v>275</v>
      </c>
      <c r="X255" t="s">
        <v>675</v>
      </c>
    </row>
    <row r="256" spans="23:24" x14ac:dyDescent="0.2">
      <c r="W256" t="s">
        <v>276</v>
      </c>
      <c r="X256" t="s">
        <v>675</v>
      </c>
    </row>
    <row r="257" spans="23:24" x14ac:dyDescent="0.2">
      <c r="W257" t="s">
        <v>277</v>
      </c>
      <c r="X257" t="s">
        <v>675</v>
      </c>
    </row>
    <row r="258" spans="23:24" x14ac:dyDescent="0.2">
      <c r="W258" t="s">
        <v>278</v>
      </c>
      <c r="X258" t="s">
        <v>675</v>
      </c>
    </row>
    <row r="259" spans="23:24" x14ac:dyDescent="0.2">
      <c r="W259" t="s">
        <v>279</v>
      </c>
      <c r="X259" t="s">
        <v>675</v>
      </c>
    </row>
    <row r="260" spans="23:24" x14ac:dyDescent="0.2">
      <c r="W260" t="s">
        <v>280</v>
      </c>
      <c r="X260" t="s">
        <v>675</v>
      </c>
    </row>
    <row r="261" spans="23:24" x14ac:dyDescent="0.2">
      <c r="W261" t="s">
        <v>281</v>
      </c>
      <c r="X261" t="s">
        <v>675</v>
      </c>
    </row>
    <row r="262" spans="23:24" x14ac:dyDescent="0.2">
      <c r="W262" t="s">
        <v>282</v>
      </c>
      <c r="X262" t="s">
        <v>675</v>
      </c>
    </row>
    <row r="263" spans="23:24" x14ac:dyDescent="0.2">
      <c r="W263" t="s">
        <v>257</v>
      </c>
      <c r="X263" t="s">
        <v>675</v>
      </c>
    </row>
    <row r="264" spans="23:24" x14ac:dyDescent="0.2">
      <c r="W264" t="s">
        <v>258</v>
      </c>
      <c r="X264" t="s">
        <v>675</v>
      </c>
    </row>
    <row r="265" spans="23:24" x14ac:dyDescent="0.2">
      <c r="W265" t="s">
        <v>259</v>
      </c>
      <c r="X265" t="s">
        <v>675</v>
      </c>
    </row>
    <row r="266" spans="23:24" x14ac:dyDescent="0.2">
      <c r="W266" t="s">
        <v>260</v>
      </c>
      <c r="X266" t="s">
        <v>675</v>
      </c>
    </row>
    <row r="267" spans="23:24" x14ac:dyDescent="0.2">
      <c r="W267" t="s">
        <v>261</v>
      </c>
      <c r="X267" t="s">
        <v>675</v>
      </c>
    </row>
    <row r="268" spans="23:24" x14ac:dyDescent="0.2">
      <c r="W268" t="s">
        <v>262</v>
      </c>
      <c r="X268" t="s">
        <v>675</v>
      </c>
    </row>
    <row r="269" spans="23:24" x14ac:dyDescent="0.2">
      <c r="W269" t="s">
        <v>263</v>
      </c>
      <c r="X269" t="s">
        <v>675</v>
      </c>
    </row>
    <row r="270" spans="23:24" x14ac:dyDescent="0.2">
      <c r="W270" t="s">
        <v>264</v>
      </c>
      <c r="X270" t="s">
        <v>675</v>
      </c>
    </row>
    <row r="271" spans="23:24" x14ac:dyDescent="0.2">
      <c r="W271" t="s">
        <v>265</v>
      </c>
      <c r="X271" t="s">
        <v>675</v>
      </c>
    </row>
    <row r="272" spans="23:24" x14ac:dyDescent="0.2">
      <c r="W272" t="s">
        <v>266</v>
      </c>
      <c r="X272" t="s">
        <v>675</v>
      </c>
    </row>
    <row r="273" spans="23:24" x14ac:dyDescent="0.2">
      <c r="W273" t="s">
        <v>267</v>
      </c>
      <c r="X273" t="s">
        <v>675</v>
      </c>
    </row>
    <row r="274" spans="23:24" x14ac:dyDescent="0.2">
      <c r="W274" t="s">
        <v>268</v>
      </c>
      <c r="X274" t="s">
        <v>675</v>
      </c>
    </row>
    <row r="275" spans="23:24" x14ac:dyDescent="0.2">
      <c r="W275" t="s">
        <v>269</v>
      </c>
      <c r="X275" t="s">
        <v>675</v>
      </c>
    </row>
    <row r="276" spans="23:24" x14ac:dyDescent="0.2">
      <c r="W276" t="s">
        <v>270</v>
      </c>
      <c r="X276" t="s">
        <v>675</v>
      </c>
    </row>
    <row r="277" spans="23:24" x14ac:dyDescent="0.2">
      <c r="W277" t="s">
        <v>271</v>
      </c>
      <c r="X277" t="s">
        <v>675</v>
      </c>
    </row>
    <row r="278" spans="23:24" x14ac:dyDescent="0.2">
      <c r="W278" t="s">
        <v>272</v>
      </c>
      <c r="X278" t="s">
        <v>675</v>
      </c>
    </row>
    <row r="279" spans="23:24" x14ac:dyDescent="0.2">
      <c r="W279" t="s">
        <v>273</v>
      </c>
      <c r="X279" t="s">
        <v>675</v>
      </c>
    </row>
    <row r="280" spans="23:24" x14ac:dyDescent="0.2">
      <c r="W280" t="s">
        <v>274</v>
      </c>
      <c r="X280" t="s">
        <v>675</v>
      </c>
    </row>
    <row r="281" spans="23:24" x14ac:dyDescent="0.2">
      <c r="W281" t="s">
        <v>275</v>
      </c>
      <c r="X281" t="s">
        <v>675</v>
      </c>
    </row>
    <row r="282" spans="23:24" x14ac:dyDescent="0.2">
      <c r="W282" t="s">
        <v>276</v>
      </c>
      <c r="X282" t="s">
        <v>675</v>
      </c>
    </row>
    <row r="283" spans="23:24" x14ac:dyDescent="0.2">
      <c r="W283" t="s">
        <v>277</v>
      </c>
      <c r="X283" t="s">
        <v>675</v>
      </c>
    </row>
    <row r="284" spans="23:24" x14ac:dyDescent="0.2">
      <c r="W284" t="s">
        <v>278</v>
      </c>
      <c r="X284" t="s">
        <v>675</v>
      </c>
    </row>
    <row r="285" spans="23:24" x14ac:dyDescent="0.2">
      <c r="W285" t="s">
        <v>279</v>
      </c>
      <c r="X285" t="s">
        <v>675</v>
      </c>
    </row>
    <row r="286" spans="23:24" x14ac:dyDescent="0.2">
      <c r="W286" t="s">
        <v>280</v>
      </c>
      <c r="X286" t="s">
        <v>675</v>
      </c>
    </row>
    <row r="287" spans="23:24" x14ac:dyDescent="0.2">
      <c r="W287" t="s">
        <v>281</v>
      </c>
      <c r="X287" t="s">
        <v>675</v>
      </c>
    </row>
    <row r="288" spans="23:24" x14ac:dyDescent="0.2">
      <c r="W288" t="s">
        <v>282</v>
      </c>
      <c r="X288" t="s">
        <v>675</v>
      </c>
    </row>
    <row r="289" spans="23:24" x14ac:dyDescent="0.2">
      <c r="W289" t="s">
        <v>266</v>
      </c>
      <c r="X289" t="s">
        <v>675</v>
      </c>
    </row>
    <row r="290" spans="23:24" x14ac:dyDescent="0.2">
      <c r="W290" t="s">
        <v>267</v>
      </c>
      <c r="X290" t="s">
        <v>675</v>
      </c>
    </row>
    <row r="291" spans="23:24" x14ac:dyDescent="0.2">
      <c r="W291" t="s">
        <v>268</v>
      </c>
      <c r="X291" t="s">
        <v>675</v>
      </c>
    </row>
    <row r="292" spans="23:24" x14ac:dyDescent="0.2">
      <c r="W292" t="s">
        <v>269</v>
      </c>
      <c r="X292" t="s">
        <v>675</v>
      </c>
    </row>
    <row r="293" spans="23:24" x14ac:dyDescent="0.2">
      <c r="W293" t="s">
        <v>270</v>
      </c>
      <c r="X293" t="s">
        <v>675</v>
      </c>
    </row>
    <row r="294" spans="23:24" x14ac:dyDescent="0.2">
      <c r="W294" t="s">
        <v>271</v>
      </c>
      <c r="X294" t="s">
        <v>675</v>
      </c>
    </row>
    <row r="295" spans="23:24" x14ac:dyDescent="0.2">
      <c r="W295" t="s">
        <v>272</v>
      </c>
      <c r="X295" t="s">
        <v>675</v>
      </c>
    </row>
    <row r="296" spans="23:24" x14ac:dyDescent="0.2">
      <c r="W296" t="s">
        <v>273</v>
      </c>
      <c r="X296" t="s">
        <v>675</v>
      </c>
    </row>
    <row r="297" spans="23:24" x14ac:dyDescent="0.2">
      <c r="W297" t="s">
        <v>274</v>
      </c>
      <c r="X297" t="s">
        <v>675</v>
      </c>
    </row>
    <row r="298" spans="23:24" x14ac:dyDescent="0.2">
      <c r="W298" t="s">
        <v>275</v>
      </c>
      <c r="X298" t="s">
        <v>675</v>
      </c>
    </row>
    <row r="299" spans="23:24" x14ac:dyDescent="0.2">
      <c r="W299" t="s">
        <v>276</v>
      </c>
      <c r="X299" t="s">
        <v>675</v>
      </c>
    </row>
    <row r="300" spans="23:24" x14ac:dyDescent="0.2">
      <c r="W300" t="s">
        <v>277</v>
      </c>
      <c r="X300" t="s">
        <v>675</v>
      </c>
    </row>
    <row r="301" spans="23:24" x14ac:dyDescent="0.2">
      <c r="W301" t="s">
        <v>278</v>
      </c>
      <c r="X301" t="s">
        <v>675</v>
      </c>
    </row>
    <row r="302" spans="23:24" x14ac:dyDescent="0.2">
      <c r="W302" t="s">
        <v>279</v>
      </c>
      <c r="X302" t="s">
        <v>675</v>
      </c>
    </row>
    <row r="303" spans="23:24" x14ac:dyDescent="0.2">
      <c r="W303" t="s">
        <v>280</v>
      </c>
      <c r="X303" t="s">
        <v>675</v>
      </c>
    </row>
    <row r="304" spans="23:24" x14ac:dyDescent="0.2">
      <c r="W304" t="s">
        <v>281</v>
      </c>
      <c r="X304" t="s">
        <v>675</v>
      </c>
    </row>
    <row r="305" spans="23:24" x14ac:dyDescent="0.2">
      <c r="W305" t="s">
        <v>282</v>
      </c>
      <c r="X305" t="s">
        <v>675</v>
      </c>
    </row>
    <row r="306" spans="23:24" x14ac:dyDescent="0.2">
      <c r="W306" t="s">
        <v>275</v>
      </c>
      <c r="X306" t="s">
        <v>675</v>
      </c>
    </row>
    <row r="307" spans="23:24" x14ac:dyDescent="0.2">
      <c r="W307" t="s">
        <v>276</v>
      </c>
      <c r="X307" t="s">
        <v>675</v>
      </c>
    </row>
    <row r="308" spans="23:24" x14ac:dyDescent="0.2">
      <c r="W308" t="s">
        <v>277</v>
      </c>
      <c r="X308" t="s">
        <v>675</v>
      </c>
    </row>
    <row r="309" spans="23:24" x14ac:dyDescent="0.2">
      <c r="W309" t="s">
        <v>278</v>
      </c>
      <c r="X309" t="s">
        <v>675</v>
      </c>
    </row>
    <row r="310" spans="23:24" x14ac:dyDescent="0.2">
      <c r="W310" t="s">
        <v>279</v>
      </c>
      <c r="X310" t="s">
        <v>675</v>
      </c>
    </row>
    <row r="311" spans="23:24" x14ac:dyDescent="0.2">
      <c r="W311" t="s">
        <v>280</v>
      </c>
      <c r="X311" t="s">
        <v>675</v>
      </c>
    </row>
    <row r="312" spans="23:24" x14ac:dyDescent="0.2">
      <c r="W312" t="s">
        <v>281</v>
      </c>
      <c r="X312" t="s">
        <v>675</v>
      </c>
    </row>
    <row r="313" spans="23:24" x14ac:dyDescent="0.2">
      <c r="W313" t="s">
        <v>282</v>
      </c>
      <c r="X313" t="s">
        <v>675</v>
      </c>
    </row>
    <row r="314" spans="23:24" x14ac:dyDescent="0.2">
      <c r="W314" t="s">
        <v>283</v>
      </c>
      <c r="X314" t="s">
        <v>675</v>
      </c>
    </row>
    <row r="315" spans="23:24" x14ac:dyDescent="0.2">
      <c r="W315" t="s">
        <v>284</v>
      </c>
      <c r="X315" t="s">
        <v>675</v>
      </c>
    </row>
    <row r="316" spans="23:24" x14ac:dyDescent="0.2">
      <c r="W316" t="s">
        <v>285</v>
      </c>
      <c r="X316" t="s">
        <v>675</v>
      </c>
    </row>
    <row r="317" spans="23:24" x14ac:dyDescent="0.2">
      <c r="W317" t="s">
        <v>286</v>
      </c>
      <c r="X317" t="s">
        <v>675</v>
      </c>
    </row>
    <row r="318" spans="23:24" x14ac:dyDescent="0.2">
      <c r="W318" t="s">
        <v>287</v>
      </c>
      <c r="X318" t="s">
        <v>675</v>
      </c>
    </row>
    <row r="319" spans="23:24" x14ac:dyDescent="0.2">
      <c r="W319" t="s">
        <v>288</v>
      </c>
      <c r="X319" t="s">
        <v>675</v>
      </c>
    </row>
    <row r="320" spans="23:24" x14ac:dyDescent="0.2">
      <c r="W320" t="s">
        <v>289</v>
      </c>
      <c r="X320" t="s">
        <v>675</v>
      </c>
    </row>
    <row r="321" spans="23:24" x14ac:dyDescent="0.2">
      <c r="W321" t="s">
        <v>290</v>
      </c>
      <c r="X321" t="s">
        <v>675</v>
      </c>
    </row>
    <row r="322" spans="23:24" x14ac:dyDescent="0.2">
      <c r="W322" t="s">
        <v>291</v>
      </c>
      <c r="X322" t="s">
        <v>675</v>
      </c>
    </row>
    <row r="323" spans="23:24" x14ac:dyDescent="0.2">
      <c r="W323" t="s">
        <v>292</v>
      </c>
      <c r="X323" t="s">
        <v>675</v>
      </c>
    </row>
    <row r="324" spans="23:24" x14ac:dyDescent="0.2">
      <c r="W324" t="s">
        <v>293</v>
      </c>
      <c r="X324" t="s">
        <v>675</v>
      </c>
    </row>
    <row r="325" spans="23:24" x14ac:dyDescent="0.2">
      <c r="W325" t="s">
        <v>294</v>
      </c>
      <c r="X325" t="s">
        <v>675</v>
      </c>
    </row>
    <row r="326" spans="23:24" x14ac:dyDescent="0.2">
      <c r="W326" t="s">
        <v>295</v>
      </c>
      <c r="X326" t="s">
        <v>675</v>
      </c>
    </row>
    <row r="327" spans="23:24" x14ac:dyDescent="0.2">
      <c r="W327" t="s">
        <v>296</v>
      </c>
      <c r="X327" t="s">
        <v>675</v>
      </c>
    </row>
    <row r="328" spans="23:24" x14ac:dyDescent="0.2">
      <c r="W328" t="s">
        <v>297</v>
      </c>
      <c r="X328" t="s">
        <v>675</v>
      </c>
    </row>
    <row r="329" spans="23:24" x14ac:dyDescent="0.2">
      <c r="W329" t="s">
        <v>298</v>
      </c>
      <c r="X329" t="s">
        <v>675</v>
      </c>
    </row>
    <row r="330" spans="23:24" x14ac:dyDescent="0.2">
      <c r="W330" t="s">
        <v>299</v>
      </c>
      <c r="X330" t="s">
        <v>675</v>
      </c>
    </row>
    <row r="331" spans="23:24" x14ac:dyDescent="0.2">
      <c r="W331" t="s">
        <v>300</v>
      </c>
      <c r="X331" t="s">
        <v>675</v>
      </c>
    </row>
    <row r="332" spans="23:24" x14ac:dyDescent="0.2">
      <c r="W332" t="s">
        <v>301</v>
      </c>
      <c r="X332" t="s">
        <v>675</v>
      </c>
    </row>
    <row r="333" spans="23:24" x14ac:dyDescent="0.2">
      <c r="W333" t="s">
        <v>302</v>
      </c>
      <c r="X333" t="s">
        <v>675</v>
      </c>
    </row>
    <row r="334" spans="23:24" x14ac:dyDescent="0.2">
      <c r="W334" t="s">
        <v>303</v>
      </c>
      <c r="X334" t="s">
        <v>675</v>
      </c>
    </row>
    <row r="335" spans="23:24" x14ac:dyDescent="0.2">
      <c r="W335" t="s">
        <v>304</v>
      </c>
      <c r="X335" t="s">
        <v>675</v>
      </c>
    </row>
    <row r="336" spans="23:24" x14ac:dyDescent="0.2">
      <c r="W336" t="s">
        <v>305</v>
      </c>
      <c r="X336" t="s">
        <v>675</v>
      </c>
    </row>
    <row r="337" spans="23:24" x14ac:dyDescent="0.2">
      <c r="W337" t="s">
        <v>306</v>
      </c>
      <c r="X337" t="s">
        <v>675</v>
      </c>
    </row>
    <row r="338" spans="23:24" x14ac:dyDescent="0.2">
      <c r="W338" t="s">
        <v>297</v>
      </c>
      <c r="X338" t="s">
        <v>675</v>
      </c>
    </row>
    <row r="339" spans="23:24" x14ac:dyDescent="0.2">
      <c r="W339" t="s">
        <v>298</v>
      </c>
      <c r="X339" t="s">
        <v>675</v>
      </c>
    </row>
    <row r="340" spans="23:24" x14ac:dyDescent="0.2">
      <c r="W340" t="s">
        <v>299</v>
      </c>
      <c r="X340" t="s">
        <v>675</v>
      </c>
    </row>
    <row r="341" spans="23:24" x14ac:dyDescent="0.2">
      <c r="W341" t="s">
        <v>300</v>
      </c>
      <c r="X341" t="s">
        <v>675</v>
      </c>
    </row>
    <row r="342" spans="23:24" x14ac:dyDescent="0.2">
      <c r="W342" t="s">
        <v>301</v>
      </c>
      <c r="X342" t="s">
        <v>675</v>
      </c>
    </row>
    <row r="343" spans="23:24" x14ac:dyDescent="0.2">
      <c r="W343" t="s">
        <v>302</v>
      </c>
      <c r="X343" t="s">
        <v>675</v>
      </c>
    </row>
    <row r="344" spans="23:24" x14ac:dyDescent="0.2">
      <c r="W344" t="s">
        <v>303</v>
      </c>
      <c r="X344" t="s">
        <v>675</v>
      </c>
    </row>
    <row r="345" spans="23:24" x14ac:dyDescent="0.2">
      <c r="W345" t="s">
        <v>304</v>
      </c>
      <c r="X345" t="s">
        <v>675</v>
      </c>
    </row>
    <row r="346" spans="23:24" x14ac:dyDescent="0.2">
      <c r="W346" t="s">
        <v>305</v>
      </c>
      <c r="X346" t="s">
        <v>675</v>
      </c>
    </row>
    <row r="347" spans="23:24" x14ac:dyDescent="0.2">
      <c r="W347" t="s">
        <v>306</v>
      </c>
      <c r="X347" t="s">
        <v>675</v>
      </c>
    </row>
    <row r="348" spans="23:24" x14ac:dyDescent="0.2">
      <c r="W348" t="s">
        <v>307</v>
      </c>
      <c r="X348" t="s">
        <v>675</v>
      </c>
    </row>
    <row r="349" spans="23:24" x14ac:dyDescent="0.2">
      <c r="W349" t="s">
        <v>308</v>
      </c>
      <c r="X349" t="s">
        <v>675</v>
      </c>
    </row>
    <row r="350" spans="23:24" x14ac:dyDescent="0.2">
      <c r="W350" t="s">
        <v>309</v>
      </c>
      <c r="X350" t="s">
        <v>675</v>
      </c>
    </row>
    <row r="351" spans="23:24" x14ac:dyDescent="0.2">
      <c r="W351" t="s">
        <v>310</v>
      </c>
      <c r="X351" t="s">
        <v>675</v>
      </c>
    </row>
    <row r="352" spans="23:24" x14ac:dyDescent="0.2">
      <c r="W352" t="s">
        <v>311</v>
      </c>
      <c r="X352" t="s">
        <v>675</v>
      </c>
    </row>
    <row r="353" spans="23:24" x14ac:dyDescent="0.2">
      <c r="W353" t="s">
        <v>312</v>
      </c>
      <c r="X353" t="s">
        <v>675</v>
      </c>
    </row>
    <row r="354" spans="23:24" x14ac:dyDescent="0.2">
      <c r="W354" t="s">
        <v>313</v>
      </c>
      <c r="X354" t="s">
        <v>675</v>
      </c>
    </row>
    <row r="355" spans="23:24" x14ac:dyDescent="0.2">
      <c r="W355" t="s">
        <v>314</v>
      </c>
      <c r="X355" t="s">
        <v>675</v>
      </c>
    </row>
    <row r="356" spans="23:24" x14ac:dyDescent="0.2">
      <c r="W356" t="s">
        <v>315</v>
      </c>
      <c r="X356" t="s">
        <v>675</v>
      </c>
    </row>
    <row r="357" spans="23:24" x14ac:dyDescent="0.2">
      <c r="W357" t="s">
        <v>316</v>
      </c>
      <c r="X357" t="s">
        <v>675</v>
      </c>
    </row>
    <row r="358" spans="23:24" x14ac:dyDescent="0.2">
      <c r="W358" t="s">
        <v>317</v>
      </c>
      <c r="X358" t="s">
        <v>675</v>
      </c>
    </row>
    <row r="359" spans="23:24" x14ac:dyDescent="0.2">
      <c r="W359" t="s">
        <v>318</v>
      </c>
      <c r="X359" t="s">
        <v>675</v>
      </c>
    </row>
    <row r="360" spans="23:24" x14ac:dyDescent="0.2">
      <c r="W360" t="s">
        <v>319</v>
      </c>
      <c r="X360" t="s">
        <v>675</v>
      </c>
    </row>
    <row r="361" spans="23:24" x14ac:dyDescent="0.2">
      <c r="W361" t="s">
        <v>320</v>
      </c>
      <c r="X361" t="s">
        <v>675</v>
      </c>
    </row>
    <row r="362" spans="23:24" x14ac:dyDescent="0.2">
      <c r="W362" t="s">
        <v>321</v>
      </c>
      <c r="X362" t="s">
        <v>675</v>
      </c>
    </row>
    <row r="363" spans="23:24" x14ac:dyDescent="0.2">
      <c r="W363" t="s">
        <v>322</v>
      </c>
      <c r="X363" t="s">
        <v>675</v>
      </c>
    </row>
    <row r="364" spans="23:24" x14ac:dyDescent="0.2">
      <c r="W364" t="s">
        <v>323</v>
      </c>
      <c r="X364" t="s">
        <v>675</v>
      </c>
    </row>
    <row r="365" spans="23:24" x14ac:dyDescent="0.2">
      <c r="W365" t="s">
        <v>324</v>
      </c>
      <c r="X365" t="s">
        <v>675</v>
      </c>
    </row>
    <row r="366" spans="23:24" x14ac:dyDescent="0.2">
      <c r="W366" t="s">
        <v>325</v>
      </c>
      <c r="X366" t="s">
        <v>675</v>
      </c>
    </row>
    <row r="367" spans="23:24" x14ac:dyDescent="0.2">
      <c r="W367" t="s">
        <v>307</v>
      </c>
      <c r="X367" t="s">
        <v>675</v>
      </c>
    </row>
    <row r="368" spans="23:24" x14ac:dyDescent="0.2">
      <c r="W368" t="s">
        <v>308</v>
      </c>
      <c r="X368" t="s">
        <v>675</v>
      </c>
    </row>
    <row r="369" spans="23:24" x14ac:dyDescent="0.2">
      <c r="W369" t="s">
        <v>309</v>
      </c>
      <c r="X369" t="s">
        <v>675</v>
      </c>
    </row>
    <row r="370" spans="23:24" x14ac:dyDescent="0.2">
      <c r="W370" t="s">
        <v>310</v>
      </c>
      <c r="X370" t="s">
        <v>675</v>
      </c>
    </row>
    <row r="371" spans="23:24" x14ac:dyDescent="0.2">
      <c r="W371" t="s">
        <v>311</v>
      </c>
      <c r="X371" t="s">
        <v>675</v>
      </c>
    </row>
    <row r="372" spans="23:24" x14ac:dyDescent="0.2">
      <c r="W372" t="s">
        <v>312</v>
      </c>
      <c r="X372" t="s">
        <v>675</v>
      </c>
    </row>
    <row r="373" spans="23:24" x14ac:dyDescent="0.2">
      <c r="W373" t="s">
        <v>313</v>
      </c>
      <c r="X373" t="s">
        <v>675</v>
      </c>
    </row>
    <row r="374" spans="23:24" x14ac:dyDescent="0.2">
      <c r="W374" t="s">
        <v>314</v>
      </c>
      <c r="X374" t="s">
        <v>675</v>
      </c>
    </row>
    <row r="375" spans="23:24" x14ac:dyDescent="0.2">
      <c r="W375" t="s">
        <v>315</v>
      </c>
      <c r="X375" t="s">
        <v>675</v>
      </c>
    </row>
    <row r="376" spans="23:24" x14ac:dyDescent="0.2">
      <c r="W376" t="s">
        <v>316</v>
      </c>
      <c r="X376" t="s">
        <v>675</v>
      </c>
    </row>
    <row r="377" spans="23:24" x14ac:dyDescent="0.2">
      <c r="W377" t="s">
        <v>317</v>
      </c>
      <c r="X377" t="s">
        <v>675</v>
      </c>
    </row>
    <row r="378" spans="23:24" x14ac:dyDescent="0.2">
      <c r="W378" t="s">
        <v>318</v>
      </c>
      <c r="X378" t="s">
        <v>675</v>
      </c>
    </row>
    <row r="379" spans="23:24" x14ac:dyDescent="0.2">
      <c r="W379" t="s">
        <v>319</v>
      </c>
      <c r="X379" t="s">
        <v>675</v>
      </c>
    </row>
    <row r="380" spans="23:24" x14ac:dyDescent="0.2">
      <c r="W380" t="s">
        <v>320</v>
      </c>
      <c r="X380" t="s">
        <v>675</v>
      </c>
    </row>
    <row r="381" spans="23:24" x14ac:dyDescent="0.2">
      <c r="W381" t="s">
        <v>321</v>
      </c>
      <c r="X381" t="s">
        <v>675</v>
      </c>
    </row>
    <row r="382" spans="23:24" x14ac:dyDescent="0.2">
      <c r="W382" t="s">
        <v>322</v>
      </c>
      <c r="X382" t="s">
        <v>675</v>
      </c>
    </row>
    <row r="383" spans="23:24" x14ac:dyDescent="0.2">
      <c r="W383" t="s">
        <v>323</v>
      </c>
      <c r="X383" t="s">
        <v>675</v>
      </c>
    </row>
    <row r="384" spans="23:24" x14ac:dyDescent="0.2">
      <c r="W384" t="s">
        <v>324</v>
      </c>
      <c r="X384" t="s">
        <v>675</v>
      </c>
    </row>
    <row r="385" spans="23:24" x14ac:dyDescent="0.2">
      <c r="W385" t="s">
        <v>325</v>
      </c>
      <c r="X385" t="s">
        <v>675</v>
      </c>
    </row>
    <row r="386" spans="23:24" x14ac:dyDescent="0.2">
      <c r="W386" t="s">
        <v>326</v>
      </c>
      <c r="X386" t="s">
        <v>675</v>
      </c>
    </row>
    <row r="387" spans="23:24" x14ac:dyDescent="0.2">
      <c r="W387" t="s">
        <v>327</v>
      </c>
      <c r="X387" t="s">
        <v>675</v>
      </c>
    </row>
    <row r="388" spans="23:24" x14ac:dyDescent="0.2">
      <c r="W388" t="s">
        <v>328</v>
      </c>
      <c r="X388" t="s">
        <v>675</v>
      </c>
    </row>
    <row r="389" spans="23:24" x14ac:dyDescent="0.2">
      <c r="W389" t="s">
        <v>329</v>
      </c>
      <c r="X389" t="s">
        <v>675</v>
      </c>
    </row>
    <row r="390" spans="23:24" x14ac:dyDescent="0.2">
      <c r="W390" t="s">
        <v>330</v>
      </c>
      <c r="X390" t="s">
        <v>675</v>
      </c>
    </row>
    <row r="391" spans="23:24" x14ac:dyDescent="0.2">
      <c r="W391" t="s">
        <v>331</v>
      </c>
      <c r="X391" t="s">
        <v>675</v>
      </c>
    </row>
    <row r="392" spans="23:24" x14ac:dyDescent="0.2">
      <c r="W392" t="s">
        <v>332</v>
      </c>
      <c r="X392" t="s">
        <v>675</v>
      </c>
    </row>
    <row r="393" spans="23:24" x14ac:dyDescent="0.2">
      <c r="W393" t="s">
        <v>333</v>
      </c>
      <c r="X393" t="s">
        <v>675</v>
      </c>
    </row>
    <row r="394" spans="23:24" x14ac:dyDescent="0.2">
      <c r="W394" t="s">
        <v>334</v>
      </c>
      <c r="X394" t="s">
        <v>675</v>
      </c>
    </row>
    <row r="395" spans="23:24" x14ac:dyDescent="0.2">
      <c r="W395" t="s">
        <v>335</v>
      </c>
      <c r="X395" t="s">
        <v>675</v>
      </c>
    </row>
    <row r="396" spans="23:24" x14ac:dyDescent="0.2">
      <c r="W396" t="s">
        <v>336</v>
      </c>
      <c r="X396" t="s">
        <v>675</v>
      </c>
    </row>
    <row r="397" spans="23:24" x14ac:dyDescent="0.2">
      <c r="W397" t="s">
        <v>337</v>
      </c>
      <c r="X397" t="s">
        <v>675</v>
      </c>
    </row>
    <row r="398" spans="23:24" x14ac:dyDescent="0.2">
      <c r="W398" t="s">
        <v>338</v>
      </c>
      <c r="X398" t="s">
        <v>675</v>
      </c>
    </row>
    <row r="399" spans="23:24" x14ac:dyDescent="0.2">
      <c r="W399" t="s">
        <v>339</v>
      </c>
      <c r="X399" t="s">
        <v>675</v>
      </c>
    </row>
    <row r="400" spans="23:24" x14ac:dyDescent="0.2">
      <c r="W400" t="s">
        <v>340</v>
      </c>
      <c r="X400" t="s">
        <v>675</v>
      </c>
    </row>
    <row r="401" spans="23:24" x14ac:dyDescent="0.2">
      <c r="W401" t="s">
        <v>341</v>
      </c>
      <c r="X401" t="s">
        <v>675</v>
      </c>
    </row>
    <row r="402" spans="23:24" x14ac:dyDescent="0.2">
      <c r="W402" t="s">
        <v>315</v>
      </c>
      <c r="X402" t="s">
        <v>675</v>
      </c>
    </row>
    <row r="403" spans="23:24" x14ac:dyDescent="0.2">
      <c r="W403" t="s">
        <v>316</v>
      </c>
      <c r="X403" t="s">
        <v>675</v>
      </c>
    </row>
    <row r="404" spans="23:24" x14ac:dyDescent="0.2">
      <c r="W404" t="s">
        <v>317</v>
      </c>
      <c r="X404" t="s">
        <v>675</v>
      </c>
    </row>
    <row r="405" spans="23:24" x14ac:dyDescent="0.2">
      <c r="W405" t="s">
        <v>318</v>
      </c>
      <c r="X405" t="s">
        <v>675</v>
      </c>
    </row>
    <row r="406" spans="23:24" x14ac:dyDescent="0.2">
      <c r="W406" t="s">
        <v>319</v>
      </c>
      <c r="X406" t="s">
        <v>675</v>
      </c>
    </row>
    <row r="407" spans="23:24" x14ac:dyDescent="0.2">
      <c r="W407" t="s">
        <v>320</v>
      </c>
      <c r="X407" t="s">
        <v>675</v>
      </c>
    </row>
    <row r="408" spans="23:24" x14ac:dyDescent="0.2">
      <c r="W408" t="s">
        <v>321</v>
      </c>
      <c r="X408" t="s">
        <v>675</v>
      </c>
    </row>
    <row r="409" spans="23:24" x14ac:dyDescent="0.2">
      <c r="W409" t="s">
        <v>322</v>
      </c>
      <c r="X409" t="s">
        <v>675</v>
      </c>
    </row>
    <row r="410" spans="23:24" x14ac:dyDescent="0.2">
      <c r="W410" t="s">
        <v>323</v>
      </c>
      <c r="X410" t="s">
        <v>675</v>
      </c>
    </row>
    <row r="411" spans="23:24" x14ac:dyDescent="0.2">
      <c r="W411" t="s">
        <v>324</v>
      </c>
      <c r="X411" t="s">
        <v>675</v>
      </c>
    </row>
    <row r="412" spans="23:24" x14ac:dyDescent="0.2">
      <c r="W412" t="s">
        <v>325</v>
      </c>
      <c r="X412" t="s">
        <v>675</v>
      </c>
    </row>
    <row r="413" spans="23:24" x14ac:dyDescent="0.2">
      <c r="W413" t="s">
        <v>326</v>
      </c>
      <c r="X413" t="s">
        <v>675</v>
      </c>
    </row>
    <row r="414" spans="23:24" x14ac:dyDescent="0.2">
      <c r="W414" t="s">
        <v>327</v>
      </c>
      <c r="X414" t="s">
        <v>675</v>
      </c>
    </row>
    <row r="415" spans="23:24" x14ac:dyDescent="0.2">
      <c r="W415" t="s">
        <v>328</v>
      </c>
      <c r="X415" t="s">
        <v>675</v>
      </c>
    </row>
    <row r="416" spans="23:24" x14ac:dyDescent="0.2">
      <c r="W416" t="s">
        <v>329</v>
      </c>
      <c r="X416" t="s">
        <v>675</v>
      </c>
    </row>
    <row r="417" spans="23:24" x14ac:dyDescent="0.2">
      <c r="W417" t="s">
        <v>330</v>
      </c>
      <c r="X417" t="s">
        <v>675</v>
      </c>
    </row>
    <row r="418" spans="23:24" x14ac:dyDescent="0.2">
      <c r="W418" t="s">
        <v>331</v>
      </c>
      <c r="X418" t="s">
        <v>675</v>
      </c>
    </row>
    <row r="419" spans="23:24" x14ac:dyDescent="0.2">
      <c r="W419" t="s">
        <v>332</v>
      </c>
      <c r="X419" t="s">
        <v>675</v>
      </c>
    </row>
    <row r="420" spans="23:24" x14ac:dyDescent="0.2">
      <c r="W420" t="s">
        <v>333</v>
      </c>
      <c r="X420" t="s">
        <v>675</v>
      </c>
    </row>
    <row r="421" spans="23:24" x14ac:dyDescent="0.2">
      <c r="W421" t="s">
        <v>334</v>
      </c>
      <c r="X421" t="s">
        <v>675</v>
      </c>
    </row>
    <row r="422" spans="23:24" x14ac:dyDescent="0.2">
      <c r="W422" t="s">
        <v>335</v>
      </c>
      <c r="X422" t="s">
        <v>675</v>
      </c>
    </row>
    <row r="423" spans="23:24" x14ac:dyDescent="0.2">
      <c r="W423" t="s">
        <v>336</v>
      </c>
      <c r="X423" t="s">
        <v>675</v>
      </c>
    </row>
    <row r="424" spans="23:24" x14ac:dyDescent="0.2">
      <c r="W424" t="s">
        <v>337</v>
      </c>
      <c r="X424" t="s">
        <v>675</v>
      </c>
    </row>
    <row r="425" spans="23:24" x14ac:dyDescent="0.2">
      <c r="W425" t="s">
        <v>338</v>
      </c>
      <c r="X425" t="s">
        <v>675</v>
      </c>
    </row>
    <row r="426" spans="23:24" x14ac:dyDescent="0.2">
      <c r="W426" t="s">
        <v>339</v>
      </c>
      <c r="X426" t="s">
        <v>675</v>
      </c>
    </row>
    <row r="427" spans="23:24" x14ac:dyDescent="0.2">
      <c r="W427" t="s">
        <v>340</v>
      </c>
      <c r="X427" t="s">
        <v>675</v>
      </c>
    </row>
    <row r="428" spans="23:24" x14ac:dyDescent="0.2">
      <c r="W428" t="s">
        <v>341</v>
      </c>
      <c r="X428" t="s">
        <v>675</v>
      </c>
    </row>
    <row r="429" spans="23:24" x14ac:dyDescent="0.2">
      <c r="W429" t="s">
        <v>342</v>
      </c>
      <c r="X429" t="s">
        <v>675</v>
      </c>
    </row>
    <row r="430" spans="23:24" x14ac:dyDescent="0.2">
      <c r="W430" t="s">
        <v>343</v>
      </c>
      <c r="X430" t="s">
        <v>675</v>
      </c>
    </row>
    <row r="431" spans="23:24" x14ac:dyDescent="0.2">
      <c r="W431" t="s">
        <v>344</v>
      </c>
      <c r="X431" t="s">
        <v>675</v>
      </c>
    </row>
    <row r="432" spans="23:24" x14ac:dyDescent="0.2">
      <c r="W432" t="s">
        <v>345</v>
      </c>
      <c r="X432" t="s">
        <v>675</v>
      </c>
    </row>
    <row r="433" spans="23:24" x14ac:dyDescent="0.2">
      <c r="W433" t="s">
        <v>346</v>
      </c>
      <c r="X433" t="s">
        <v>675</v>
      </c>
    </row>
    <row r="434" spans="23:24" x14ac:dyDescent="0.2">
      <c r="W434" t="s">
        <v>347</v>
      </c>
      <c r="X434" t="s">
        <v>675</v>
      </c>
    </row>
    <row r="435" spans="23:24" x14ac:dyDescent="0.2">
      <c r="W435" t="s">
        <v>348</v>
      </c>
      <c r="X435" t="s">
        <v>675</v>
      </c>
    </row>
    <row r="436" spans="23:24" x14ac:dyDescent="0.2">
      <c r="W436" t="s">
        <v>349</v>
      </c>
      <c r="X436" t="s">
        <v>675</v>
      </c>
    </row>
    <row r="437" spans="23:24" x14ac:dyDescent="0.2">
      <c r="W437" t="s">
        <v>350</v>
      </c>
      <c r="X437" t="s">
        <v>675</v>
      </c>
    </row>
    <row r="438" spans="23:24" x14ac:dyDescent="0.2">
      <c r="W438" t="s">
        <v>351</v>
      </c>
      <c r="X438" t="s">
        <v>675</v>
      </c>
    </row>
    <row r="439" spans="23:24" x14ac:dyDescent="0.2">
      <c r="W439" t="s">
        <v>352</v>
      </c>
      <c r="X439" t="s">
        <v>675</v>
      </c>
    </row>
    <row r="440" spans="23:24" x14ac:dyDescent="0.2">
      <c r="W440" t="s">
        <v>353</v>
      </c>
      <c r="X440" t="s">
        <v>675</v>
      </c>
    </row>
    <row r="441" spans="23:24" x14ac:dyDescent="0.2">
      <c r="W441" t="s">
        <v>354</v>
      </c>
      <c r="X441" t="s">
        <v>675</v>
      </c>
    </row>
    <row r="442" spans="23:24" x14ac:dyDescent="0.2">
      <c r="W442" t="s">
        <v>355</v>
      </c>
      <c r="X442" t="s">
        <v>675</v>
      </c>
    </row>
    <row r="443" spans="23:24" x14ac:dyDescent="0.2">
      <c r="W443" t="s">
        <v>356</v>
      </c>
      <c r="X443" t="s">
        <v>675</v>
      </c>
    </row>
    <row r="444" spans="23:24" x14ac:dyDescent="0.2">
      <c r="W444" t="s">
        <v>357</v>
      </c>
      <c r="X444" t="s">
        <v>675</v>
      </c>
    </row>
    <row r="445" spans="23:24" x14ac:dyDescent="0.2">
      <c r="W445" t="s">
        <v>358</v>
      </c>
      <c r="X445" t="s">
        <v>675</v>
      </c>
    </row>
    <row r="446" spans="23:24" x14ac:dyDescent="0.2">
      <c r="W446" t="s">
        <v>326</v>
      </c>
      <c r="X446" t="s">
        <v>675</v>
      </c>
    </row>
    <row r="447" spans="23:24" x14ac:dyDescent="0.2">
      <c r="W447" t="s">
        <v>327</v>
      </c>
      <c r="X447" t="s">
        <v>675</v>
      </c>
    </row>
    <row r="448" spans="23:24" x14ac:dyDescent="0.2">
      <c r="W448" t="s">
        <v>328</v>
      </c>
      <c r="X448" t="s">
        <v>675</v>
      </c>
    </row>
    <row r="449" spans="23:24" x14ac:dyDescent="0.2">
      <c r="W449" t="s">
        <v>329</v>
      </c>
      <c r="X449" t="s">
        <v>675</v>
      </c>
    </row>
    <row r="450" spans="23:24" x14ac:dyDescent="0.2">
      <c r="W450" t="s">
        <v>330</v>
      </c>
      <c r="X450" t="s">
        <v>675</v>
      </c>
    </row>
    <row r="451" spans="23:24" x14ac:dyDescent="0.2">
      <c r="W451" t="s">
        <v>331</v>
      </c>
      <c r="X451" t="s">
        <v>675</v>
      </c>
    </row>
    <row r="452" spans="23:24" x14ac:dyDescent="0.2">
      <c r="W452" t="s">
        <v>332</v>
      </c>
      <c r="X452" t="s">
        <v>675</v>
      </c>
    </row>
    <row r="453" spans="23:24" x14ac:dyDescent="0.2">
      <c r="W453" t="s">
        <v>333</v>
      </c>
      <c r="X453" t="s">
        <v>675</v>
      </c>
    </row>
    <row r="454" spans="23:24" x14ac:dyDescent="0.2">
      <c r="W454" t="s">
        <v>334</v>
      </c>
      <c r="X454" t="s">
        <v>675</v>
      </c>
    </row>
    <row r="455" spans="23:24" x14ac:dyDescent="0.2">
      <c r="W455" t="s">
        <v>335</v>
      </c>
      <c r="X455" t="s">
        <v>675</v>
      </c>
    </row>
    <row r="456" spans="23:24" x14ac:dyDescent="0.2">
      <c r="W456" t="s">
        <v>336</v>
      </c>
      <c r="X456" t="s">
        <v>675</v>
      </c>
    </row>
    <row r="457" spans="23:24" x14ac:dyDescent="0.2">
      <c r="W457" t="s">
        <v>337</v>
      </c>
      <c r="X457" t="s">
        <v>675</v>
      </c>
    </row>
    <row r="458" spans="23:24" x14ac:dyDescent="0.2">
      <c r="W458" t="s">
        <v>338</v>
      </c>
      <c r="X458" t="s">
        <v>675</v>
      </c>
    </row>
    <row r="459" spans="23:24" x14ac:dyDescent="0.2">
      <c r="W459" t="s">
        <v>339</v>
      </c>
      <c r="X459" t="s">
        <v>675</v>
      </c>
    </row>
    <row r="460" spans="23:24" x14ac:dyDescent="0.2">
      <c r="W460" t="s">
        <v>340</v>
      </c>
      <c r="X460" t="s">
        <v>675</v>
      </c>
    </row>
    <row r="461" spans="23:24" x14ac:dyDescent="0.2">
      <c r="W461" t="s">
        <v>341</v>
      </c>
      <c r="X461" t="s">
        <v>675</v>
      </c>
    </row>
    <row r="462" spans="23:24" x14ac:dyDescent="0.2">
      <c r="W462" t="s">
        <v>342</v>
      </c>
      <c r="X462" t="s">
        <v>675</v>
      </c>
    </row>
    <row r="463" spans="23:24" x14ac:dyDescent="0.2">
      <c r="W463" t="s">
        <v>343</v>
      </c>
      <c r="X463" t="s">
        <v>675</v>
      </c>
    </row>
    <row r="464" spans="23:24" x14ac:dyDescent="0.2">
      <c r="W464" t="s">
        <v>344</v>
      </c>
      <c r="X464" t="s">
        <v>675</v>
      </c>
    </row>
    <row r="465" spans="23:24" x14ac:dyDescent="0.2">
      <c r="W465" t="s">
        <v>345</v>
      </c>
      <c r="X465" t="s">
        <v>675</v>
      </c>
    </row>
    <row r="466" spans="23:24" x14ac:dyDescent="0.2">
      <c r="W466" t="s">
        <v>346</v>
      </c>
      <c r="X466" t="s">
        <v>675</v>
      </c>
    </row>
    <row r="467" spans="23:24" x14ac:dyDescent="0.2">
      <c r="W467" t="s">
        <v>347</v>
      </c>
      <c r="X467" t="s">
        <v>675</v>
      </c>
    </row>
    <row r="468" spans="23:24" x14ac:dyDescent="0.2">
      <c r="W468" t="s">
        <v>348</v>
      </c>
      <c r="X468" t="s">
        <v>675</v>
      </c>
    </row>
    <row r="469" spans="23:24" x14ac:dyDescent="0.2">
      <c r="W469" t="s">
        <v>349</v>
      </c>
      <c r="X469" t="s">
        <v>675</v>
      </c>
    </row>
    <row r="470" spans="23:24" x14ac:dyDescent="0.2">
      <c r="W470" t="s">
        <v>350</v>
      </c>
      <c r="X470" t="s">
        <v>675</v>
      </c>
    </row>
    <row r="471" spans="23:24" x14ac:dyDescent="0.2">
      <c r="W471" t="s">
        <v>351</v>
      </c>
      <c r="X471" t="s">
        <v>675</v>
      </c>
    </row>
    <row r="472" spans="23:24" x14ac:dyDescent="0.2">
      <c r="W472" t="s">
        <v>352</v>
      </c>
      <c r="X472" t="s">
        <v>675</v>
      </c>
    </row>
    <row r="473" spans="23:24" x14ac:dyDescent="0.2">
      <c r="W473" t="s">
        <v>353</v>
      </c>
      <c r="X473" t="s">
        <v>675</v>
      </c>
    </row>
    <row r="474" spans="23:24" x14ac:dyDescent="0.2">
      <c r="W474" t="s">
        <v>354</v>
      </c>
      <c r="X474" t="s">
        <v>675</v>
      </c>
    </row>
    <row r="475" spans="23:24" x14ac:dyDescent="0.2">
      <c r="W475" t="s">
        <v>355</v>
      </c>
      <c r="X475" t="s">
        <v>675</v>
      </c>
    </row>
    <row r="476" spans="23:24" x14ac:dyDescent="0.2">
      <c r="W476" t="s">
        <v>356</v>
      </c>
      <c r="X476" t="s">
        <v>675</v>
      </c>
    </row>
    <row r="477" spans="23:24" x14ac:dyDescent="0.2">
      <c r="W477" t="s">
        <v>357</v>
      </c>
      <c r="X477" t="s">
        <v>675</v>
      </c>
    </row>
    <row r="478" spans="23:24" x14ac:dyDescent="0.2">
      <c r="W478" t="s">
        <v>358</v>
      </c>
      <c r="X478" t="s">
        <v>675</v>
      </c>
    </row>
    <row r="479" spans="23:24" x14ac:dyDescent="0.2">
      <c r="W479" t="s">
        <v>359</v>
      </c>
      <c r="X479" t="s">
        <v>675</v>
      </c>
    </row>
    <row r="480" spans="23:24" x14ac:dyDescent="0.2">
      <c r="W480" t="s">
        <v>360</v>
      </c>
      <c r="X480" t="s">
        <v>675</v>
      </c>
    </row>
    <row r="481" spans="23:24" x14ac:dyDescent="0.2">
      <c r="W481" t="s">
        <v>361</v>
      </c>
      <c r="X481" t="s">
        <v>675</v>
      </c>
    </row>
    <row r="482" spans="23:24" x14ac:dyDescent="0.2">
      <c r="W482" t="s">
        <v>362</v>
      </c>
      <c r="X482" t="s">
        <v>675</v>
      </c>
    </row>
    <row r="483" spans="23:24" x14ac:dyDescent="0.2">
      <c r="W483" t="s">
        <v>363</v>
      </c>
      <c r="X483" t="s">
        <v>675</v>
      </c>
    </row>
    <row r="484" spans="23:24" x14ac:dyDescent="0.2">
      <c r="W484" t="s">
        <v>364</v>
      </c>
      <c r="X484" t="s">
        <v>675</v>
      </c>
    </row>
    <row r="485" spans="23:24" x14ac:dyDescent="0.2">
      <c r="W485" t="s">
        <v>365</v>
      </c>
      <c r="X485" t="s">
        <v>675</v>
      </c>
    </row>
    <row r="486" spans="23:24" x14ac:dyDescent="0.2">
      <c r="W486" t="s">
        <v>366</v>
      </c>
      <c r="X486" t="s">
        <v>675</v>
      </c>
    </row>
    <row r="487" spans="23:24" x14ac:dyDescent="0.2">
      <c r="W487" t="s">
        <v>367</v>
      </c>
      <c r="X487" t="s">
        <v>675</v>
      </c>
    </row>
    <row r="488" spans="23:24" x14ac:dyDescent="0.2">
      <c r="W488" t="s">
        <v>368</v>
      </c>
      <c r="X488" t="s">
        <v>675</v>
      </c>
    </row>
    <row r="489" spans="23:24" x14ac:dyDescent="0.2">
      <c r="W489" t="s">
        <v>369</v>
      </c>
      <c r="X489" t="s">
        <v>675</v>
      </c>
    </row>
    <row r="490" spans="23:24" x14ac:dyDescent="0.2">
      <c r="W490" t="s">
        <v>370</v>
      </c>
      <c r="X490" t="s">
        <v>675</v>
      </c>
    </row>
    <row r="491" spans="23:24" x14ac:dyDescent="0.2">
      <c r="W491" t="s">
        <v>371</v>
      </c>
      <c r="X491" t="s">
        <v>675</v>
      </c>
    </row>
    <row r="492" spans="23:24" x14ac:dyDescent="0.2">
      <c r="W492" t="s">
        <v>372</v>
      </c>
      <c r="X492" t="s">
        <v>675</v>
      </c>
    </row>
    <row r="493" spans="23:24" x14ac:dyDescent="0.2">
      <c r="W493" t="s">
        <v>373</v>
      </c>
      <c r="X493" t="s">
        <v>675</v>
      </c>
    </row>
    <row r="494" spans="23:24" x14ac:dyDescent="0.2">
      <c r="W494" t="s">
        <v>374</v>
      </c>
      <c r="X494" t="s">
        <v>675</v>
      </c>
    </row>
    <row r="495" spans="23:24" x14ac:dyDescent="0.2">
      <c r="W495" t="s">
        <v>375</v>
      </c>
      <c r="X495" t="s">
        <v>675</v>
      </c>
    </row>
    <row r="496" spans="23:24" x14ac:dyDescent="0.2">
      <c r="W496" t="s">
        <v>338</v>
      </c>
      <c r="X496" t="s">
        <v>675</v>
      </c>
    </row>
    <row r="497" spans="23:24" x14ac:dyDescent="0.2">
      <c r="W497" t="s">
        <v>339</v>
      </c>
      <c r="X497" t="s">
        <v>675</v>
      </c>
    </row>
    <row r="498" spans="23:24" x14ac:dyDescent="0.2">
      <c r="W498" t="s">
        <v>340</v>
      </c>
      <c r="X498" t="s">
        <v>675</v>
      </c>
    </row>
    <row r="499" spans="23:24" x14ac:dyDescent="0.2">
      <c r="W499" t="s">
        <v>341</v>
      </c>
      <c r="X499" t="s">
        <v>675</v>
      </c>
    </row>
    <row r="500" spans="23:24" x14ac:dyDescent="0.2">
      <c r="W500" t="s">
        <v>342</v>
      </c>
      <c r="X500" t="s">
        <v>675</v>
      </c>
    </row>
    <row r="501" spans="23:24" x14ac:dyDescent="0.2">
      <c r="W501" t="s">
        <v>343</v>
      </c>
      <c r="X501" t="s">
        <v>675</v>
      </c>
    </row>
    <row r="502" spans="23:24" x14ac:dyDescent="0.2">
      <c r="W502" t="s">
        <v>344</v>
      </c>
      <c r="X502" t="s">
        <v>675</v>
      </c>
    </row>
    <row r="503" spans="23:24" x14ac:dyDescent="0.2">
      <c r="W503" t="s">
        <v>345</v>
      </c>
      <c r="X503" t="s">
        <v>675</v>
      </c>
    </row>
    <row r="504" spans="23:24" x14ac:dyDescent="0.2">
      <c r="W504" t="s">
        <v>346</v>
      </c>
      <c r="X504" t="s">
        <v>675</v>
      </c>
    </row>
    <row r="505" spans="23:24" x14ac:dyDescent="0.2">
      <c r="W505" t="s">
        <v>347</v>
      </c>
      <c r="X505" t="s">
        <v>675</v>
      </c>
    </row>
    <row r="506" spans="23:24" x14ac:dyDescent="0.2">
      <c r="W506" t="s">
        <v>348</v>
      </c>
      <c r="X506" t="s">
        <v>675</v>
      </c>
    </row>
    <row r="507" spans="23:24" x14ac:dyDescent="0.2">
      <c r="W507" t="s">
        <v>349</v>
      </c>
      <c r="X507" t="s">
        <v>675</v>
      </c>
    </row>
    <row r="508" spans="23:24" x14ac:dyDescent="0.2">
      <c r="W508" t="s">
        <v>350</v>
      </c>
      <c r="X508" t="s">
        <v>675</v>
      </c>
    </row>
    <row r="509" spans="23:24" x14ac:dyDescent="0.2">
      <c r="W509" t="s">
        <v>351</v>
      </c>
      <c r="X509" t="s">
        <v>675</v>
      </c>
    </row>
    <row r="510" spans="23:24" x14ac:dyDescent="0.2">
      <c r="W510" t="s">
        <v>352</v>
      </c>
      <c r="X510" t="s">
        <v>675</v>
      </c>
    </row>
    <row r="511" spans="23:24" x14ac:dyDescent="0.2">
      <c r="W511" t="s">
        <v>353</v>
      </c>
      <c r="X511" t="s">
        <v>675</v>
      </c>
    </row>
    <row r="512" spans="23:24" x14ac:dyDescent="0.2">
      <c r="W512" t="s">
        <v>354</v>
      </c>
      <c r="X512" t="s">
        <v>675</v>
      </c>
    </row>
    <row r="513" spans="23:24" x14ac:dyDescent="0.2">
      <c r="W513" t="s">
        <v>355</v>
      </c>
      <c r="X513" t="s">
        <v>675</v>
      </c>
    </row>
    <row r="514" spans="23:24" x14ac:dyDescent="0.2">
      <c r="W514" t="s">
        <v>356</v>
      </c>
      <c r="X514" t="s">
        <v>675</v>
      </c>
    </row>
    <row r="515" spans="23:24" x14ac:dyDescent="0.2">
      <c r="W515" t="s">
        <v>357</v>
      </c>
      <c r="X515" t="s">
        <v>675</v>
      </c>
    </row>
    <row r="516" spans="23:24" x14ac:dyDescent="0.2">
      <c r="W516" t="s">
        <v>358</v>
      </c>
      <c r="X516" t="s">
        <v>675</v>
      </c>
    </row>
    <row r="517" spans="23:24" x14ac:dyDescent="0.2">
      <c r="W517" t="s">
        <v>359</v>
      </c>
      <c r="X517" t="s">
        <v>675</v>
      </c>
    </row>
    <row r="518" spans="23:24" x14ac:dyDescent="0.2">
      <c r="W518" t="s">
        <v>360</v>
      </c>
      <c r="X518" t="s">
        <v>675</v>
      </c>
    </row>
    <row r="519" spans="23:24" x14ac:dyDescent="0.2">
      <c r="W519" t="s">
        <v>361</v>
      </c>
      <c r="X519" t="s">
        <v>675</v>
      </c>
    </row>
    <row r="520" spans="23:24" x14ac:dyDescent="0.2">
      <c r="W520" t="s">
        <v>362</v>
      </c>
      <c r="X520" t="s">
        <v>675</v>
      </c>
    </row>
    <row r="521" spans="23:24" x14ac:dyDescent="0.2">
      <c r="W521" t="s">
        <v>363</v>
      </c>
      <c r="X521" t="s">
        <v>675</v>
      </c>
    </row>
    <row r="522" spans="23:24" x14ac:dyDescent="0.2">
      <c r="W522" t="s">
        <v>364</v>
      </c>
      <c r="X522" t="s">
        <v>675</v>
      </c>
    </row>
    <row r="523" spans="23:24" x14ac:dyDescent="0.2">
      <c r="W523" t="s">
        <v>365</v>
      </c>
      <c r="X523" t="s">
        <v>675</v>
      </c>
    </row>
    <row r="524" spans="23:24" x14ac:dyDescent="0.2">
      <c r="W524" t="s">
        <v>366</v>
      </c>
      <c r="X524" t="s">
        <v>675</v>
      </c>
    </row>
    <row r="525" spans="23:24" x14ac:dyDescent="0.2">
      <c r="W525" t="s">
        <v>367</v>
      </c>
      <c r="X525" t="s">
        <v>675</v>
      </c>
    </row>
    <row r="526" spans="23:24" x14ac:dyDescent="0.2">
      <c r="W526" t="s">
        <v>368</v>
      </c>
      <c r="X526" t="s">
        <v>675</v>
      </c>
    </row>
    <row r="527" spans="23:24" x14ac:dyDescent="0.2">
      <c r="W527" t="s">
        <v>369</v>
      </c>
      <c r="X527" t="s">
        <v>675</v>
      </c>
    </row>
    <row r="528" spans="23:24" x14ac:dyDescent="0.2">
      <c r="W528" t="s">
        <v>370</v>
      </c>
      <c r="X528" t="s">
        <v>675</v>
      </c>
    </row>
    <row r="529" spans="23:24" x14ac:dyDescent="0.2">
      <c r="W529" t="s">
        <v>371</v>
      </c>
      <c r="X529" t="s">
        <v>675</v>
      </c>
    </row>
    <row r="530" spans="23:24" x14ac:dyDescent="0.2">
      <c r="W530" t="s">
        <v>372</v>
      </c>
      <c r="X530" t="s">
        <v>675</v>
      </c>
    </row>
    <row r="531" spans="23:24" x14ac:dyDescent="0.2">
      <c r="W531" t="s">
        <v>373</v>
      </c>
      <c r="X531" t="s">
        <v>675</v>
      </c>
    </row>
    <row r="532" spans="23:24" x14ac:dyDescent="0.2">
      <c r="W532" t="s">
        <v>374</v>
      </c>
      <c r="X532" t="s">
        <v>675</v>
      </c>
    </row>
    <row r="533" spans="23:24" x14ac:dyDescent="0.2">
      <c r="W533" t="s">
        <v>375</v>
      </c>
      <c r="X533" t="s">
        <v>675</v>
      </c>
    </row>
    <row r="534" spans="23:24" x14ac:dyDescent="0.2">
      <c r="W534" t="s">
        <v>342</v>
      </c>
      <c r="X534" t="s">
        <v>675</v>
      </c>
    </row>
    <row r="535" spans="23:24" x14ac:dyDescent="0.2">
      <c r="W535" t="s">
        <v>343</v>
      </c>
      <c r="X535" t="s">
        <v>675</v>
      </c>
    </row>
    <row r="536" spans="23:24" x14ac:dyDescent="0.2">
      <c r="W536" t="s">
        <v>344</v>
      </c>
      <c r="X536" t="s">
        <v>675</v>
      </c>
    </row>
    <row r="537" spans="23:24" x14ac:dyDescent="0.2">
      <c r="W537" t="s">
        <v>345</v>
      </c>
      <c r="X537" t="s">
        <v>675</v>
      </c>
    </row>
    <row r="538" spans="23:24" x14ac:dyDescent="0.2">
      <c r="W538" t="s">
        <v>346</v>
      </c>
      <c r="X538" t="s">
        <v>675</v>
      </c>
    </row>
    <row r="539" spans="23:24" x14ac:dyDescent="0.2">
      <c r="W539" t="s">
        <v>347</v>
      </c>
      <c r="X539" t="s">
        <v>675</v>
      </c>
    </row>
    <row r="540" spans="23:24" x14ac:dyDescent="0.2">
      <c r="W540" t="s">
        <v>348</v>
      </c>
      <c r="X540" t="s">
        <v>675</v>
      </c>
    </row>
    <row r="541" spans="23:24" x14ac:dyDescent="0.2">
      <c r="W541" t="s">
        <v>349</v>
      </c>
      <c r="X541" t="s">
        <v>675</v>
      </c>
    </row>
    <row r="542" spans="23:24" x14ac:dyDescent="0.2">
      <c r="W542" t="s">
        <v>350</v>
      </c>
      <c r="X542" t="s">
        <v>675</v>
      </c>
    </row>
    <row r="543" spans="23:24" x14ac:dyDescent="0.2">
      <c r="W543" t="s">
        <v>351</v>
      </c>
      <c r="X543" t="s">
        <v>675</v>
      </c>
    </row>
    <row r="544" spans="23:24" x14ac:dyDescent="0.2">
      <c r="W544" t="s">
        <v>352</v>
      </c>
      <c r="X544" t="s">
        <v>675</v>
      </c>
    </row>
    <row r="545" spans="23:24" x14ac:dyDescent="0.2">
      <c r="W545" t="s">
        <v>353</v>
      </c>
      <c r="X545" t="s">
        <v>675</v>
      </c>
    </row>
    <row r="546" spans="23:24" x14ac:dyDescent="0.2">
      <c r="W546" t="s">
        <v>354</v>
      </c>
      <c r="X546" t="s">
        <v>675</v>
      </c>
    </row>
    <row r="547" spans="23:24" x14ac:dyDescent="0.2">
      <c r="W547" t="s">
        <v>355</v>
      </c>
      <c r="X547" t="s">
        <v>675</v>
      </c>
    </row>
    <row r="548" spans="23:24" x14ac:dyDescent="0.2">
      <c r="W548" t="s">
        <v>356</v>
      </c>
      <c r="X548" t="s">
        <v>675</v>
      </c>
    </row>
    <row r="549" spans="23:24" x14ac:dyDescent="0.2">
      <c r="W549" t="s">
        <v>357</v>
      </c>
      <c r="X549" t="s">
        <v>675</v>
      </c>
    </row>
    <row r="550" spans="23:24" x14ac:dyDescent="0.2">
      <c r="W550" t="s">
        <v>358</v>
      </c>
      <c r="X550" t="s">
        <v>675</v>
      </c>
    </row>
    <row r="551" spans="23:24" x14ac:dyDescent="0.2">
      <c r="W551" t="s">
        <v>359</v>
      </c>
      <c r="X551" t="s">
        <v>675</v>
      </c>
    </row>
    <row r="552" spans="23:24" x14ac:dyDescent="0.2">
      <c r="W552" t="s">
        <v>360</v>
      </c>
      <c r="X552" t="s">
        <v>675</v>
      </c>
    </row>
    <row r="553" spans="23:24" x14ac:dyDescent="0.2">
      <c r="W553" t="s">
        <v>361</v>
      </c>
      <c r="X553" t="s">
        <v>675</v>
      </c>
    </row>
    <row r="554" spans="23:24" x14ac:dyDescent="0.2">
      <c r="W554" t="s">
        <v>362</v>
      </c>
      <c r="X554" t="s">
        <v>675</v>
      </c>
    </row>
    <row r="555" spans="23:24" x14ac:dyDescent="0.2">
      <c r="W555" t="s">
        <v>363</v>
      </c>
      <c r="X555" t="s">
        <v>675</v>
      </c>
    </row>
    <row r="556" spans="23:24" x14ac:dyDescent="0.2">
      <c r="W556" t="s">
        <v>364</v>
      </c>
      <c r="X556" t="s">
        <v>675</v>
      </c>
    </row>
    <row r="557" spans="23:24" x14ac:dyDescent="0.2">
      <c r="W557" t="s">
        <v>365</v>
      </c>
      <c r="X557" t="s">
        <v>675</v>
      </c>
    </row>
    <row r="558" spans="23:24" x14ac:dyDescent="0.2">
      <c r="W558" t="s">
        <v>366</v>
      </c>
      <c r="X558" t="s">
        <v>675</v>
      </c>
    </row>
    <row r="559" spans="23:24" x14ac:dyDescent="0.2">
      <c r="W559" t="s">
        <v>367</v>
      </c>
      <c r="X559" t="s">
        <v>675</v>
      </c>
    </row>
    <row r="560" spans="23:24" x14ac:dyDescent="0.2">
      <c r="W560" t="s">
        <v>368</v>
      </c>
      <c r="X560" t="s">
        <v>675</v>
      </c>
    </row>
    <row r="561" spans="23:24" x14ac:dyDescent="0.2">
      <c r="W561" t="s">
        <v>369</v>
      </c>
      <c r="X561" t="s">
        <v>675</v>
      </c>
    </row>
    <row r="562" spans="23:24" x14ac:dyDescent="0.2">
      <c r="W562" t="s">
        <v>370</v>
      </c>
      <c r="X562" t="s">
        <v>675</v>
      </c>
    </row>
    <row r="563" spans="23:24" x14ac:dyDescent="0.2">
      <c r="W563" t="s">
        <v>371</v>
      </c>
      <c r="X563" t="s">
        <v>675</v>
      </c>
    </row>
    <row r="564" spans="23:24" x14ac:dyDescent="0.2">
      <c r="W564" t="s">
        <v>372</v>
      </c>
      <c r="X564" t="s">
        <v>675</v>
      </c>
    </row>
    <row r="565" spans="23:24" x14ac:dyDescent="0.2">
      <c r="W565" t="s">
        <v>373</v>
      </c>
      <c r="X565" t="s">
        <v>675</v>
      </c>
    </row>
    <row r="566" spans="23:24" x14ac:dyDescent="0.2">
      <c r="W566" t="s">
        <v>374</v>
      </c>
      <c r="X566" t="s">
        <v>675</v>
      </c>
    </row>
    <row r="567" spans="23:24" x14ac:dyDescent="0.2">
      <c r="W567" t="s">
        <v>375</v>
      </c>
      <c r="X567" t="s">
        <v>675</v>
      </c>
    </row>
    <row r="568" spans="23:24" x14ac:dyDescent="0.2">
      <c r="W568" t="s">
        <v>350</v>
      </c>
      <c r="X568" t="s">
        <v>675</v>
      </c>
    </row>
    <row r="569" spans="23:24" x14ac:dyDescent="0.2">
      <c r="W569" t="s">
        <v>351</v>
      </c>
      <c r="X569" t="s">
        <v>675</v>
      </c>
    </row>
    <row r="570" spans="23:24" x14ac:dyDescent="0.2">
      <c r="W570" t="s">
        <v>352</v>
      </c>
      <c r="X570" t="s">
        <v>675</v>
      </c>
    </row>
    <row r="571" spans="23:24" x14ac:dyDescent="0.2">
      <c r="W571" t="s">
        <v>353</v>
      </c>
      <c r="X571" t="s">
        <v>675</v>
      </c>
    </row>
    <row r="572" spans="23:24" x14ac:dyDescent="0.2">
      <c r="W572" t="s">
        <v>354</v>
      </c>
      <c r="X572" t="s">
        <v>675</v>
      </c>
    </row>
    <row r="573" spans="23:24" x14ac:dyDescent="0.2">
      <c r="W573" t="s">
        <v>355</v>
      </c>
      <c r="X573" t="s">
        <v>675</v>
      </c>
    </row>
    <row r="574" spans="23:24" x14ac:dyDescent="0.2">
      <c r="W574" t="s">
        <v>356</v>
      </c>
      <c r="X574" t="s">
        <v>675</v>
      </c>
    </row>
    <row r="575" spans="23:24" x14ac:dyDescent="0.2">
      <c r="W575" t="s">
        <v>357</v>
      </c>
      <c r="X575" t="s">
        <v>675</v>
      </c>
    </row>
    <row r="576" spans="23:24" x14ac:dyDescent="0.2">
      <c r="W576" t="s">
        <v>358</v>
      </c>
      <c r="X576" t="s">
        <v>675</v>
      </c>
    </row>
    <row r="577" spans="23:24" x14ac:dyDescent="0.2">
      <c r="W577" t="s">
        <v>359</v>
      </c>
      <c r="X577" t="s">
        <v>675</v>
      </c>
    </row>
    <row r="578" spans="23:24" x14ac:dyDescent="0.2">
      <c r="W578" t="s">
        <v>360</v>
      </c>
      <c r="X578" t="s">
        <v>675</v>
      </c>
    </row>
    <row r="579" spans="23:24" x14ac:dyDescent="0.2">
      <c r="W579" t="s">
        <v>361</v>
      </c>
      <c r="X579" t="s">
        <v>675</v>
      </c>
    </row>
    <row r="580" spans="23:24" x14ac:dyDescent="0.2">
      <c r="W580" t="s">
        <v>362</v>
      </c>
      <c r="X580" t="s">
        <v>675</v>
      </c>
    </row>
    <row r="581" spans="23:24" x14ac:dyDescent="0.2">
      <c r="W581" t="s">
        <v>363</v>
      </c>
      <c r="X581" t="s">
        <v>675</v>
      </c>
    </row>
    <row r="582" spans="23:24" x14ac:dyDescent="0.2">
      <c r="W582" t="s">
        <v>364</v>
      </c>
      <c r="X582" t="s">
        <v>675</v>
      </c>
    </row>
    <row r="583" spans="23:24" x14ac:dyDescent="0.2">
      <c r="W583" t="s">
        <v>365</v>
      </c>
      <c r="X583" t="s">
        <v>675</v>
      </c>
    </row>
    <row r="584" spans="23:24" x14ac:dyDescent="0.2">
      <c r="W584" t="s">
        <v>366</v>
      </c>
      <c r="X584" t="s">
        <v>675</v>
      </c>
    </row>
    <row r="585" spans="23:24" x14ac:dyDescent="0.2">
      <c r="W585" t="s">
        <v>367</v>
      </c>
      <c r="X585" t="s">
        <v>675</v>
      </c>
    </row>
    <row r="586" spans="23:24" x14ac:dyDescent="0.2">
      <c r="W586" t="s">
        <v>368</v>
      </c>
      <c r="X586" t="s">
        <v>675</v>
      </c>
    </row>
    <row r="587" spans="23:24" x14ac:dyDescent="0.2">
      <c r="W587" t="s">
        <v>369</v>
      </c>
      <c r="X587" t="s">
        <v>675</v>
      </c>
    </row>
    <row r="588" spans="23:24" x14ac:dyDescent="0.2">
      <c r="W588" t="s">
        <v>370</v>
      </c>
      <c r="X588" t="s">
        <v>675</v>
      </c>
    </row>
    <row r="589" spans="23:24" x14ac:dyDescent="0.2">
      <c r="W589" t="s">
        <v>371</v>
      </c>
      <c r="X589" t="s">
        <v>675</v>
      </c>
    </row>
    <row r="590" spans="23:24" x14ac:dyDescent="0.2">
      <c r="W590" t="s">
        <v>372</v>
      </c>
      <c r="X590" t="s">
        <v>675</v>
      </c>
    </row>
    <row r="591" spans="23:24" x14ac:dyDescent="0.2">
      <c r="W591" t="s">
        <v>373</v>
      </c>
      <c r="X591" t="s">
        <v>675</v>
      </c>
    </row>
    <row r="592" spans="23:24" x14ac:dyDescent="0.2">
      <c r="W592" t="s">
        <v>374</v>
      </c>
      <c r="X592" t="s">
        <v>675</v>
      </c>
    </row>
    <row r="593" spans="23:24" x14ac:dyDescent="0.2">
      <c r="W593" t="s">
        <v>375</v>
      </c>
      <c r="X593" t="s">
        <v>675</v>
      </c>
    </row>
    <row r="594" spans="23:24" x14ac:dyDescent="0.2">
      <c r="W594" t="s">
        <v>359</v>
      </c>
      <c r="X594" t="s">
        <v>675</v>
      </c>
    </row>
    <row r="595" spans="23:24" x14ac:dyDescent="0.2">
      <c r="W595" t="s">
        <v>360</v>
      </c>
      <c r="X595" t="s">
        <v>675</v>
      </c>
    </row>
    <row r="596" spans="23:24" x14ac:dyDescent="0.2">
      <c r="W596" t="s">
        <v>361</v>
      </c>
      <c r="X596" t="s">
        <v>675</v>
      </c>
    </row>
    <row r="597" spans="23:24" x14ac:dyDescent="0.2">
      <c r="W597" t="s">
        <v>362</v>
      </c>
      <c r="X597" t="s">
        <v>675</v>
      </c>
    </row>
    <row r="598" spans="23:24" x14ac:dyDescent="0.2">
      <c r="W598" t="s">
        <v>363</v>
      </c>
      <c r="X598" t="s">
        <v>675</v>
      </c>
    </row>
    <row r="599" spans="23:24" x14ac:dyDescent="0.2">
      <c r="W599" t="s">
        <v>364</v>
      </c>
      <c r="X599" t="s">
        <v>675</v>
      </c>
    </row>
    <row r="600" spans="23:24" x14ac:dyDescent="0.2">
      <c r="W600" t="s">
        <v>365</v>
      </c>
      <c r="X600" t="s">
        <v>675</v>
      </c>
    </row>
    <row r="601" spans="23:24" x14ac:dyDescent="0.2">
      <c r="W601" t="s">
        <v>366</v>
      </c>
      <c r="X601" t="s">
        <v>675</v>
      </c>
    </row>
    <row r="602" spans="23:24" x14ac:dyDescent="0.2">
      <c r="W602" t="s">
        <v>367</v>
      </c>
      <c r="X602" t="s">
        <v>675</v>
      </c>
    </row>
    <row r="603" spans="23:24" x14ac:dyDescent="0.2">
      <c r="W603" t="s">
        <v>368</v>
      </c>
      <c r="X603" t="s">
        <v>675</v>
      </c>
    </row>
    <row r="604" spans="23:24" x14ac:dyDescent="0.2">
      <c r="W604" t="s">
        <v>369</v>
      </c>
      <c r="X604" t="s">
        <v>675</v>
      </c>
    </row>
    <row r="605" spans="23:24" x14ac:dyDescent="0.2">
      <c r="W605" t="s">
        <v>370</v>
      </c>
      <c r="X605" t="s">
        <v>675</v>
      </c>
    </row>
    <row r="606" spans="23:24" x14ac:dyDescent="0.2">
      <c r="W606" t="s">
        <v>371</v>
      </c>
      <c r="X606" t="s">
        <v>675</v>
      </c>
    </row>
    <row r="607" spans="23:24" x14ac:dyDescent="0.2">
      <c r="W607" t="s">
        <v>372</v>
      </c>
      <c r="X607" t="s">
        <v>675</v>
      </c>
    </row>
    <row r="608" spans="23:24" x14ac:dyDescent="0.2">
      <c r="W608" t="s">
        <v>373</v>
      </c>
      <c r="X608" t="s">
        <v>675</v>
      </c>
    </row>
    <row r="609" spans="23:24" x14ac:dyDescent="0.2">
      <c r="W609" t="s">
        <v>374</v>
      </c>
      <c r="X609" t="s">
        <v>675</v>
      </c>
    </row>
    <row r="610" spans="23:24" x14ac:dyDescent="0.2">
      <c r="W610" t="s">
        <v>375</v>
      </c>
      <c r="X610" t="s">
        <v>675</v>
      </c>
    </row>
    <row r="611" spans="23:24" x14ac:dyDescent="0.2">
      <c r="W611" t="s">
        <v>376</v>
      </c>
      <c r="X611" t="s">
        <v>675</v>
      </c>
    </row>
    <row r="612" spans="23:24" x14ac:dyDescent="0.2">
      <c r="W612" t="s">
        <v>377</v>
      </c>
      <c r="X612" t="s">
        <v>675</v>
      </c>
    </row>
    <row r="613" spans="23:24" x14ac:dyDescent="0.2">
      <c r="W613" t="s">
        <v>378</v>
      </c>
      <c r="X613" t="s">
        <v>675</v>
      </c>
    </row>
    <row r="614" spans="23:24" x14ac:dyDescent="0.2">
      <c r="W614" t="s">
        <v>379</v>
      </c>
      <c r="X614" t="s">
        <v>675</v>
      </c>
    </row>
    <row r="615" spans="23:24" x14ac:dyDescent="0.2">
      <c r="W615" t="s">
        <v>380</v>
      </c>
      <c r="X615" t="s">
        <v>675</v>
      </c>
    </row>
    <row r="616" spans="23:24" x14ac:dyDescent="0.2">
      <c r="W616" t="s">
        <v>381</v>
      </c>
      <c r="X616" t="s">
        <v>675</v>
      </c>
    </row>
    <row r="617" spans="23:24" x14ac:dyDescent="0.2">
      <c r="W617" t="s">
        <v>382</v>
      </c>
      <c r="X617" t="s">
        <v>675</v>
      </c>
    </row>
    <row r="618" spans="23:24" x14ac:dyDescent="0.2">
      <c r="W618" t="s">
        <v>383</v>
      </c>
      <c r="X618" t="s">
        <v>675</v>
      </c>
    </row>
    <row r="619" spans="23:24" x14ac:dyDescent="0.2">
      <c r="W619" t="s">
        <v>384</v>
      </c>
      <c r="X619" t="s">
        <v>675</v>
      </c>
    </row>
    <row r="620" spans="23:24" x14ac:dyDescent="0.2">
      <c r="W620" t="s">
        <v>385</v>
      </c>
      <c r="X620" t="s">
        <v>675</v>
      </c>
    </row>
    <row r="621" spans="23:24" x14ac:dyDescent="0.2">
      <c r="W621" t="s">
        <v>386</v>
      </c>
      <c r="X621" t="s">
        <v>675</v>
      </c>
    </row>
    <row r="622" spans="23:24" x14ac:dyDescent="0.2">
      <c r="W622" t="s">
        <v>387</v>
      </c>
      <c r="X622" t="s">
        <v>675</v>
      </c>
    </row>
    <row r="623" spans="23:24" x14ac:dyDescent="0.2">
      <c r="W623" t="s">
        <v>388</v>
      </c>
      <c r="X623" t="s">
        <v>675</v>
      </c>
    </row>
    <row r="624" spans="23:24" x14ac:dyDescent="0.2">
      <c r="W624" t="s">
        <v>389</v>
      </c>
      <c r="X624" t="s">
        <v>675</v>
      </c>
    </row>
    <row r="625" spans="23:24" x14ac:dyDescent="0.2">
      <c r="W625" t="s">
        <v>390</v>
      </c>
      <c r="X625" t="s">
        <v>675</v>
      </c>
    </row>
    <row r="626" spans="23:24" x14ac:dyDescent="0.2">
      <c r="W626" t="s">
        <v>391</v>
      </c>
      <c r="X626" t="s">
        <v>675</v>
      </c>
    </row>
    <row r="627" spans="23:24" x14ac:dyDescent="0.2">
      <c r="W627" t="s">
        <v>392</v>
      </c>
      <c r="X627" t="s">
        <v>675</v>
      </c>
    </row>
    <row r="628" spans="23:24" x14ac:dyDescent="0.2">
      <c r="W628" t="s">
        <v>393</v>
      </c>
      <c r="X628" t="s">
        <v>675</v>
      </c>
    </row>
    <row r="629" spans="23:24" x14ac:dyDescent="0.2">
      <c r="W629" t="s">
        <v>394</v>
      </c>
      <c r="X629" t="s">
        <v>675</v>
      </c>
    </row>
    <row r="630" spans="23:24" x14ac:dyDescent="0.2">
      <c r="W630" t="s">
        <v>395</v>
      </c>
      <c r="X630" t="s">
        <v>675</v>
      </c>
    </row>
    <row r="631" spans="23:24" x14ac:dyDescent="0.2">
      <c r="W631" t="s">
        <v>396</v>
      </c>
      <c r="X631" t="s">
        <v>675</v>
      </c>
    </row>
    <row r="632" spans="23:24" x14ac:dyDescent="0.2">
      <c r="W632" t="s">
        <v>397</v>
      </c>
      <c r="X632" t="s">
        <v>675</v>
      </c>
    </row>
    <row r="633" spans="23:24" x14ac:dyDescent="0.2">
      <c r="W633" t="s">
        <v>398</v>
      </c>
      <c r="X633" t="s">
        <v>675</v>
      </c>
    </row>
    <row r="634" spans="23:24" x14ac:dyDescent="0.2">
      <c r="W634" t="s">
        <v>399</v>
      </c>
      <c r="X634" t="s">
        <v>675</v>
      </c>
    </row>
    <row r="635" spans="23:24" x14ac:dyDescent="0.2">
      <c r="W635" t="s">
        <v>400</v>
      </c>
      <c r="X635" t="s">
        <v>675</v>
      </c>
    </row>
    <row r="636" spans="23:24" x14ac:dyDescent="0.2">
      <c r="W636" t="s">
        <v>401</v>
      </c>
      <c r="X636" t="s">
        <v>675</v>
      </c>
    </row>
    <row r="637" spans="23:24" x14ac:dyDescent="0.2">
      <c r="W637" t="s">
        <v>402</v>
      </c>
      <c r="X637" t="s">
        <v>675</v>
      </c>
    </row>
    <row r="638" spans="23:24" x14ac:dyDescent="0.2">
      <c r="W638" t="s">
        <v>403</v>
      </c>
      <c r="X638" t="s">
        <v>675</v>
      </c>
    </row>
    <row r="639" spans="23:24" x14ac:dyDescent="0.2">
      <c r="W639" t="s">
        <v>404</v>
      </c>
      <c r="X639" t="s">
        <v>675</v>
      </c>
    </row>
    <row r="640" spans="23:24" x14ac:dyDescent="0.2">
      <c r="W640" t="s">
        <v>405</v>
      </c>
      <c r="X640" t="s">
        <v>675</v>
      </c>
    </row>
    <row r="641" spans="23:24" x14ac:dyDescent="0.2">
      <c r="W641" t="s">
        <v>406</v>
      </c>
      <c r="X641" t="s">
        <v>675</v>
      </c>
    </row>
    <row r="642" spans="23:24" x14ac:dyDescent="0.2">
      <c r="W642" t="s">
        <v>407</v>
      </c>
      <c r="X642" t="s">
        <v>675</v>
      </c>
    </row>
    <row r="643" spans="23:24" x14ac:dyDescent="0.2">
      <c r="W643" t="s">
        <v>408</v>
      </c>
      <c r="X643" t="s">
        <v>675</v>
      </c>
    </row>
    <row r="644" spans="23:24" x14ac:dyDescent="0.2">
      <c r="W644" t="s">
        <v>409</v>
      </c>
      <c r="X644" t="s">
        <v>675</v>
      </c>
    </row>
    <row r="645" spans="23:24" x14ac:dyDescent="0.2">
      <c r="W645" t="s">
        <v>410</v>
      </c>
      <c r="X645" t="s">
        <v>675</v>
      </c>
    </row>
    <row r="646" spans="23:24" x14ac:dyDescent="0.2">
      <c r="W646" t="s">
        <v>411</v>
      </c>
      <c r="X646" t="s">
        <v>675</v>
      </c>
    </row>
    <row r="647" spans="23:24" x14ac:dyDescent="0.2">
      <c r="W647" t="s">
        <v>412</v>
      </c>
      <c r="X647" t="s">
        <v>675</v>
      </c>
    </row>
    <row r="648" spans="23:24" x14ac:dyDescent="0.2">
      <c r="W648" t="s">
        <v>413</v>
      </c>
      <c r="X648" t="s">
        <v>675</v>
      </c>
    </row>
    <row r="649" spans="23:24" x14ac:dyDescent="0.2">
      <c r="W649" t="s">
        <v>414</v>
      </c>
      <c r="X649" t="s">
        <v>675</v>
      </c>
    </row>
    <row r="650" spans="23:24" x14ac:dyDescent="0.2">
      <c r="W650" t="s">
        <v>415</v>
      </c>
      <c r="X650" t="s">
        <v>675</v>
      </c>
    </row>
    <row r="651" spans="23:24" x14ac:dyDescent="0.2">
      <c r="W651" t="s">
        <v>416</v>
      </c>
      <c r="X651" t="s">
        <v>675</v>
      </c>
    </row>
    <row r="652" spans="23:24" x14ac:dyDescent="0.2">
      <c r="W652" t="s">
        <v>417</v>
      </c>
      <c r="X652" t="s">
        <v>675</v>
      </c>
    </row>
    <row r="653" spans="23:24" x14ac:dyDescent="0.2">
      <c r="W653" t="s">
        <v>418</v>
      </c>
      <c r="X653" t="s">
        <v>675</v>
      </c>
    </row>
    <row r="654" spans="23:24" x14ac:dyDescent="0.2">
      <c r="W654" t="s">
        <v>404</v>
      </c>
      <c r="X654" t="s">
        <v>675</v>
      </c>
    </row>
    <row r="655" spans="23:24" x14ac:dyDescent="0.2">
      <c r="W655" t="s">
        <v>405</v>
      </c>
      <c r="X655" t="s">
        <v>675</v>
      </c>
    </row>
    <row r="656" spans="23:24" x14ac:dyDescent="0.2">
      <c r="W656" t="s">
        <v>406</v>
      </c>
      <c r="X656" t="s">
        <v>675</v>
      </c>
    </row>
    <row r="657" spans="23:24" x14ac:dyDescent="0.2">
      <c r="W657" t="s">
        <v>407</v>
      </c>
      <c r="X657" t="s">
        <v>675</v>
      </c>
    </row>
    <row r="658" spans="23:24" x14ac:dyDescent="0.2">
      <c r="W658" t="s">
        <v>408</v>
      </c>
      <c r="X658" t="s">
        <v>675</v>
      </c>
    </row>
    <row r="659" spans="23:24" x14ac:dyDescent="0.2">
      <c r="W659" t="s">
        <v>409</v>
      </c>
      <c r="X659" t="s">
        <v>675</v>
      </c>
    </row>
    <row r="660" spans="23:24" x14ac:dyDescent="0.2">
      <c r="W660" t="s">
        <v>410</v>
      </c>
      <c r="X660" t="s">
        <v>675</v>
      </c>
    </row>
    <row r="661" spans="23:24" x14ac:dyDescent="0.2">
      <c r="W661" t="s">
        <v>411</v>
      </c>
      <c r="X661" t="s">
        <v>675</v>
      </c>
    </row>
    <row r="662" spans="23:24" x14ac:dyDescent="0.2">
      <c r="W662" t="s">
        <v>412</v>
      </c>
      <c r="X662" t="s">
        <v>675</v>
      </c>
    </row>
    <row r="663" spans="23:24" x14ac:dyDescent="0.2">
      <c r="W663" t="s">
        <v>413</v>
      </c>
      <c r="X663" t="s">
        <v>675</v>
      </c>
    </row>
    <row r="664" spans="23:24" x14ac:dyDescent="0.2">
      <c r="W664" t="s">
        <v>414</v>
      </c>
      <c r="X664" t="s">
        <v>675</v>
      </c>
    </row>
    <row r="665" spans="23:24" x14ac:dyDescent="0.2">
      <c r="W665" t="s">
        <v>415</v>
      </c>
      <c r="X665" t="s">
        <v>675</v>
      </c>
    </row>
    <row r="666" spans="23:24" x14ac:dyDescent="0.2">
      <c r="W666" t="s">
        <v>416</v>
      </c>
      <c r="X666" t="s">
        <v>675</v>
      </c>
    </row>
    <row r="667" spans="23:24" x14ac:dyDescent="0.2">
      <c r="W667" t="s">
        <v>417</v>
      </c>
      <c r="X667" t="s">
        <v>675</v>
      </c>
    </row>
    <row r="668" spans="23:24" x14ac:dyDescent="0.2">
      <c r="W668" t="s">
        <v>418</v>
      </c>
      <c r="X668" t="s">
        <v>675</v>
      </c>
    </row>
    <row r="669" spans="23:24" x14ac:dyDescent="0.2">
      <c r="W669" t="s">
        <v>419</v>
      </c>
      <c r="X669" t="s">
        <v>675</v>
      </c>
    </row>
    <row r="670" spans="23:24" x14ac:dyDescent="0.2">
      <c r="W670" t="s">
        <v>420</v>
      </c>
      <c r="X670" t="s">
        <v>675</v>
      </c>
    </row>
    <row r="671" spans="23:24" x14ac:dyDescent="0.2">
      <c r="W671" t="s">
        <v>421</v>
      </c>
      <c r="X671" t="s">
        <v>675</v>
      </c>
    </row>
    <row r="672" spans="23:24" x14ac:dyDescent="0.2">
      <c r="W672" t="s">
        <v>422</v>
      </c>
      <c r="X672" t="s">
        <v>675</v>
      </c>
    </row>
    <row r="673" spans="23:24" x14ac:dyDescent="0.2">
      <c r="W673" t="s">
        <v>423</v>
      </c>
      <c r="X673" t="s">
        <v>675</v>
      </c>
    </row>
    <row r="674" spans="23:24" x14ac:dyDescent="0.2">
      <c r="W674" t="s">
        <v>424</v>
      </c>
      <c r="X674" t="s">
        <v>675</v>
      </c>
    </row>
    <row r="675" spans="23:24" x14ac:dyDescent="0.2">
      <c r="W675" t="s">
        <v>425</v>
      </c>
      <c r="X675" t="s">
        <v>675</v>
      </c>
    </row>
    <row r="676" spans="23:24" x14ac:dyDescent="0.2">
      <c r="W676" t="s">
        <v>426</v>
      </c>
      <c r="X676" t="s">
        <v>675</v>
      </c>
    </row>
    <row r="677" spans="23:24" x14ac:dyDescent="0.2">
      <c r="W677" t="s">
        <v>427</v>
      </c>
      <c r="X677" t="s">
        <v>675</v>
      </c>
    </row>
    <row r="678" spans="23:24" x14ac:dyDescent="0.2">
      <c r="W678" t="s">
        <v>428</v>
      </c>
      <c r="X678" t="s">
        <v>675</v>
      </c>
    </row>
    <row r="679" spans="23:24" x14ac:dyDescent="0.2">
      <c r="W679" t="s">
        <v>429</v>
      </c>
      <c r="X679" t="s">
        <v>675</v>
      </c>
    </row>
    <row r="680" spans="23:24" x14ac:dyDescent="0.2">
      <c r="W680" t="s">
        <v>430</v>
      </c>
      <c r="X680" t="s">
        <v>675</v>
      </c>
    </row>
    <row r="681" spans="23:24" x14ac:dyDescent="0.2">
      <c r="W681" t="s">
        <v>431</v>
      </c>
      <c r="X681" t="s">
        <v>675</v>
      </c>
    </row>
    <row r="682" spans="23:24" x14ac:dyDescent="0.2">
      <c r="W682" t="s">
        <v>432</v>
      </c>
      <c r="X682" t="s">
        <v>675</v>
      </c>
    </row>
    <row r="683" spans="23:24" x14ac:dyDescent="0.2">
      <c r="W683" t="s">
        <v>433</v>
      </c>
      <c r="X683" t="s">
        <v>675</v>
      </c>
    </row>
    <row r="684" spans="23:24" x14ac:dyDescent="0.2">
      <c r="W684" t="s">
        <v>434</v>
      </c>
      <c r="X684" t="s">
        <v>675</v>
      </c>
    </row>
    <row r="685" spans="23:24" x14ac:dyDescent="0.2">
      <c r="W685" t="s">
        <v>435</v>
      </c>
      <c r="X685" t="s">
        <v>675</v>
      </c>
    </row>
    <row r="686" spans="23:24" x14ac:dyDescent="0.2">
      <c r="W686" t="s">
        <v>436</v>
      </c>
      <c r="X686" t="s">
        <v>675</v>
      </c>
    </row>
    <row r="687" spans="23:24" x14ac:dyDescent="0.2">
      <c r="W687" t="s">
        <v>437</v>
      </c>
      <c r="X687" t="s">
        <v>675</v>
      </c>
    </row>
    <row r="688" spans="23:24" x14ac:dyDescent="0.2">
      <c r="W688" t="s">
        <v>438</v>
      </c>
      <c r="X688" t="s">
        <v>675</v>
      </c>
    </row>
    <row r="689" spans="23:24" x14ac:dyDescent="0.2">
      <c r="W689" t="s">
        <v>439</v>
      </c>
      <c r="X689" t="s">
        <v>675</v>
      </c>
    </row>
    <row r="690" spans="23:24" x14ac:dyDescent="0.2">
      <c r="W690" t="s">
        <v>440</v>
      </c>
      <c r="X690" t="s">
        <v>675</v>
      </c>
    </row>
    <row r="691" spans="23:24" x14ac:dyDescent="0.2">
      <c r="W691" t="s">
        <v>441</v>
      </c>
      <c r="X691" t="s">
        <v>675</v>
      </c>
    </row>
    <row r="692" spans="23:24" x14ac:dyDescent="0.2">
      <c r="W692" t="s">
        <v>442</v>
      </c>
      <c r="X692" t="s">
        <v>675</v>
      </c>
    </row>
    <row r="693" spans="23:24" x14ac:dyDescent="0.2">
      <c r="W693" t="s">
        <v>443</v>
      </c>
      <c r="X693" t="s">
        <v>675</v>
      </c>
    </row>
    <row r="694" spans="23:24" x14ac:dyDescent="0.2">
      <c r="W694" t="s">
        <v>444</v>
      </c>
      <c r="X694" t="s">
        <v>675</v>
      </c>
    </row>
    <row r="695" spans="23:24" x14ac:dyDescent="0.2">
      <c r="W695" t="s">
        <v>445</v>
      </c>
      <c r="X695" t="s">
        <v>675</v>
      </c>
    </row>
    <row r="696" spans="23:24" x14ac:dyDescent="0.2">
      <c r="W696" t="s">
        <v>446</v>
      </c>
      <c r="X696" t="s">
        <v>675</v>
      </c>
    </row>
    <row r="697" spans="23:24" x14ac:dyDescent="0.2">
      <c r="W697" t="s">
        <v>447</v>
      </c>
      <c r="X697" t="s">
        <v>675</v>
      </c>
    </row>
    <row r="698" spans="23:24" x14ac:dyDescent="0.2">
      <c r="W698" t="s">
        <v>448</v>
      </c>
      <c r="X698" t="s">
        <v>675</v>
      </c>
    </row>
    <row r="699" spans="23:24" x14ac:dyDescent="0.2">
      <c r="W699" t="s">
        <v>449</v>
      </c>
      <c r="X699" t="s">
        <v>675</v>
      </c>
    </row>
    <row r="700" spans="23:24" x14ac:dyDescent="0.2">
      <c r="W700" t="s">
        <v>450</v>
      </c>
      <c r="X700" t="s">
        <v>675</v>
      </c>
    </row>
    <row r="701" spans="23:24" x14ac:dyDescent="0.2">
      <c r="W701" t="s">
        <v>451</v>
      </c>
      <c r="X701" t="s">
        <v>675</v>
      </c>
    </row>
    <row r="702" spans="23:24" x14ac:dyDescent="0.2">
      <c r="W702" t="s">
        <v>452</v>
      </c>
      <c r="X702" t="s">
        <v>675</v>
      </c>
    </row>
    <row r="703" spans="23:24" x14ac:dyDescent="0.2">
      <c r="W703" t="s">
        <v>419</v>
      </c>
      <c r="X703" t="s">
        <v>675</v>
      </c>
    </row>
    <row r="704" spans="23:24" x14ac:dyDescent="0.2">
      <c r="W704" t="s">
        <v>420</v>
      </c>
      <c r="X704" t="s">
        <v>675</v>
      </c>
    </row>
    <row r="705" spans="23:24" x14ac:dyDescent="0.2">
      <c r="W705" t="s">
        <v>421</v>
      </c>
      <c r="X705" t="s">
        <v>675</v>
      </c>
    </row>
    <row r="706" spans="23:24" x14ac:dyDescent="0.2">
      <c r="W706" t="s">
        <v>422</v>
      </c>
      <c r="X706" t="s">
        <v>675</v>
      </c>
    </row>
    <row r="707" spans="23:24" x14ac:dyDescent="0.2">
      <c r="W707" t="s">
        <v>423</v>
      </c>
      <c r="X707" t="s">
        <v>675</v>
      </c>
    </row>
    <row r="708" spans="23:24" x14ac:dyDescent="0.2">
      <c r="W708" t="s">
        <v>424</v>
      </c>
      <c r="X708" t="s">
        <v>675</v>
      </c>
    </row>
    <row r="709" spans="23:24" x14ac:dyDescent="0.2">
      <c r="W709" t="s">
        <v>425</v>
      </c>
      <c r="X709" t="s">
        <v>675</v>
      </c>
    </row>
    <row r="710" spans="23:24" x14ac:dyDescent="0.2">
      <c r="W710" t="s">
        <v>426</v>
      </c>
      <c r="X710" t="s">
        <v>675</v>
      </c>
    </row>
    <row r="711" spans="23:24" x14ac:dyDescent="0.2">
      <c r="W711" t="s">
        <v>427</v>
      </c>
      <c r="X711" t="s">
        <v>675</v>
      </c>
    </row>
    <row r="712" spans="23:24" x14ac:dyDescent="0.2">
      <c r="W712" t="s">
        <v>428</v>
      </c>
      <c r="X712" t="s">
        <v>675</v>
      </c>
    </row>
    <row r="713" spans="23:24" x14ac:dyDescent="0.2">
      <c r="W713" t="s">
        <v>429</v>
      </c>
      <c r="X713" t="s">
        <v>675</v>
      </c>
    </row>
    <row r="714" spans="23:24" x14ac:dyDescent="0.2">
      <c r="W714" t="s">
        <v>430</v>
      </c>
      <c r="X714" t="s">
        <v>675</v>
      </c>
    </row>
    <row r="715" spans="23:24" x14ac:dyDescent="0.2">
      <c r="W715" t="s">
        <v>431</v>
      </c>
      <c r="X715" t="s">
        <v>675</v>
      </c>
    </row>
    <row r="716" spans="23:24" x14ac:dyDescent="0.2">
      <c r="W716" t="s">
        <v>432</v>
      </c>
      <c r="X716" t="s">
        <v>675</v>
      </c>
    </row>
    <row r="717" spans="23:24" x14ac:dyDescent="0.2">
      <c r="W717" t="s">
        <v>433</v>
      </c>
      <c r="X717" t="s">
        <v>675</v>
      </c>
    </row>
    <row r="718" spans="23:24" x14ac:dyDescent="0.2">
      <c r="W718" t="s">
        <v>434</v>
      </c>
      <c r="X718" t="s">
        <v>675</v>
      </c>
    </row>
    <row r="719" spans="23:24" x14ac:dyDescent="0.2">
      <c r="W719" t="s">
        <v>435</v>
      </c>
      <c r="X719" t="s">
        <v>675</v>
      </c>
    </row>
    <row r="720" spans="23:24" x14ac:dyDescent="0.2">
      <c r="W720" t="s">
        <v>436</v>
      </c>
      <c r="X720" t="s">
        <v>675</v>
      </c>
    </row>
    <row r="721" spans="23:24" x14ac:dyDescent="0.2">
      <c r="W721" t="s">
        <v>437</v>
      </c>
      <c r="X721" t="s">
        <v>675</v>
      </c>
    </row>
    <row r="722" spans="23:24" x14ac:dyDescent="0.2">
      <c r="W722" t="s">
        <v>438</v>
      </c>
      <c r="X722" t="s">
        <v>675</v>
      </c>
    </row>
    <row r="723" spans="23:24" x14ac:dyDescent="0.2">
      <c r="W723" t="s">
        <v>439</v>
      </c>
      <c r="X723" t="s">
        <v>675</v>
      </c>
    </row>
    <row r="724" spans="23:24" x14ac:dyDescent="0.2">
      <c r="W724" t="s">
        <v>440</v>
      </c>
      <c r="X724" t="s">
        <v>675</v>
      </c>
    </row>
    <row r="725" spans="23:24" x14ac:dyDescent="0.2">
      <c r="W725" t="s">
        <v>441</v>
      </c>
      <c r="X725" t="s">
        <v>675</v>
      </c>
    </row>
    <row r="726" spans="23:24" x14ac:dyDescent="0.2">
      <c r="W726" t="s">
        <v>442</v>
      </c>
      <c r="X726" t="s">
        <v>675</v>
      </c>
    </row>
    <row r="727" spans="23:24" x14ac:dyDescent="0.2">
      <c r="W727" t="s">
        <v>443</v>
      </c>
      <c r="X727" t="s">
        <v>675</v>
      </c>
    </row>
    <row r="728" spans="23:24" x14ac:dyDescent="0.2">
      <c r="W728" t="s">
        <v>444</v>
      </c>
      <c r="X728" t="s">
        <v>675</v>
      </c>
    </row>
    <row r="729" spans="23:24" x14ac:dyDescent="0.2">
      <c r="W729" t="s">
        <v>445</v>
      </c>
      <c r="X729" t="s">
        <v>675</v>
      </c>
    </row>
    <row r="730" spans="23:24" x14ac:dyDescent="0.2">
      <c r="W730" t="s">
        <v>446</v>
      </c>
      <c r="X730" t="s">
        <v>675</v>
      </c>
    </row>
    <row r="731" spans="23:24" x14ac:dyDescent="0.2">
      <c r="W731" t="s">
        <v>447</v>
      </c>
      <c r="X731" t="s">
        <v>675</v>
      </c>
    </row>
    <row r="732" spans="23:24" x14ac:dyDescent="0.2">
      <c r="W732" t="s">
        <v>448</v>
      </c>
      <c r="X732" t="s">
        <v>675</v>
      </c>
    </row>
    <row r="733" spans="23:24" x14ac:dyDescent="0.2">
      <c r="W733" t="s">
        <v>449</v>
      </c>
      <c r="X733" t="s">
        <v>675</v>
      </c>
    </row>
    <row r="734" spans="23:24" x14ac:dyDescent="0.2">
      <c r="W734" t="s">
        <v>450</v>
      </c>
      <c r="X734" t="s">
        <v>675</v>
      </c>
    </row>
    <row r="735" spans="23:24" x14ac:dyDescent="0.2">
      <c r="W735" t="s">
        <v>451</v>
      </c>
      <c r="X735" t="s">
        <v>675</v>
      </c>
    </row>
    <row r="736" spans="23:24" x14ac:dyDescent="0.2">
      <c r="W736" t="s">
        <v>452</v>
      </c>
      <c r="X736" t="s">
        <v>675</v>
      </c>
    </row>
    <row r="737" spans="23:24" x14ac:dyDescent="0.2">
      <c r="W737" t="s">
        <v>453</v>
      </c>
      <c r="X737" t="s">
        <v>675</v>
      </c>
    </row>
    <row r="738" spans="23:24" x14ac:dyDescent="0.2">
      <c r="W738" t="s">
        <v>454</v>
      </c>
      <c r="X738" t="s">
        <v>675</v>
      </c>
    </row>
    <row r="739" spans="23:24" x14ac:dyDescent="0.2">
      <c r="W739" t="s">
        <v>455</v>
      </c>
      <c r="X739" t="s">
        <v>675</v>
      </c>
    </row>
    <row r="740" spans="23:24" x14ac:dyDescent="0.2">
      <c r="W740" t="s">
        <v>456</v>
      </c>
      <c r="X740" t="s">
        <v>675</v>
      </c>
    </row>
    <row r="741" spans="23:24" x14ac:dyDescent="0.2">
      <c r="W741" t="s">
        <v>457</v>
      </c>
      <c r="X741" t="s">
        <v>675</v>
      </c>
    </row>
    <row r="742" spans="23:24" x14ac:dyDescent="0.2">
      <c r="W742" t="s">
        <v>458</v>
      </c>
      <c r="X742" t="s">
        <v>675</v>
      </c>
    </row>
    <row r="743" spans="23:24" x14ac:dyDescent="0.2">
      <c r="W743" t="s">
        <v>459</v>
      </c>
      <c r="X743" t="s">
        <v>675</v>
      </c>
    </row>
    <row r="744" spans="23:24" x14ac:dyDescent="0.2">
      <c r="W744" t="s">
        <v>460</v>
      </c>
      <c r="X744" t="s">
        <v>675</v>
      </c>
    </row>
    <row r="745" spans="23:24" x14ac:dyDescent="0.2">
      <c r="W745" t="s">
        <v>461</v>
      </c>
      <c r="X745" t="s">
        <v>675</v>
      </c>
    </row>
    <row r="746" spans="23:24" x14ac:dyDescent="0.2">
      <c r="W746" t="s">
        <v>462</v>
      </c>
      <c r="X746" t="s">
        <v>675</v>
      </c>
    </row>
    <row r="747" spans="23:24" x14ac:dyDescent="0.2">
      <c r="W747" t="s">
        <v>463</v>
      </c>
      <c r="X747" t="s">
        <v>675</v>
      </c>
    </row>
    <row r="748" spans="23:24" x14ac:dyDescent="0.2">
      <c r="W748" t="s">
        <v>464</v>
      </c>
      <c r="X748" t="s">
        <v>675</v>
      </c>
    </row>
    <row r="749" spans="23:24" x14ac:dyDescent="0.2">
      <c r="W749" t="s">
        <v>465</v>
      </c>
      <c r="X749" t="s">
        <v>675</v>
      </c>
    </row>
    <row r="750" spans="23:24" x14ac:dyDescent="0.2">
      <c r="W750" t="s">
        <v>466</v>
      </c>
      <c r="X750" t="s">
        <v>675</v>
      </c>
    </row>
    <row r="751" spans="23:24" x14ac:dyDescent="0.2">
      <c r="W751" t="s">
        <v>467</v>
      </c>
      <c r="X751" t="s">
        <v>675</v>
      </c>
    </row>
    <row r="752" spans="23:24" x14ac:dyDescent="0.2">
      <c r="W752" t="s">
        <v>468</v>
      </c>
      <c r="X752" t="s">
        <v>675</v>
      </c>
    </row>
    <row r="753" spans="23:24" x14ac:dyDescent="0.2">
      <c r="W753" t="s">
        <v>469</v>
      </c>
      <c r="X753" t="s">
        <v>675</v>
      </c>
    </row>
    <row r="754" spans="23:24" x14ac:dyDescent="0.2">
      <c r="W754" t="s">
        <v>470</v>
      </c>
      <c r="X754" t="s">
        <v>675</v>
      </c>
    </row>
    <row r="755" spans="23:24" x14ac:dyDescent="0.2">
      <c r="W755" t="s">
        <v>471</v>
      </c>
      <c r="X755" t="s">
        <v>675</v>
      </c>
    </row>
    <row r="756" spans="23:24" x14ac:dyDescent="0.2">
      <c r="W756" t="s">
        <v>472</v>
      </c>
      <c r="X756" t="s">
        <v>675</v>
      </c>
    </row>
    <row r="757" spans="23:24" x14ac:dyDescent="0.2">
      <c r="W757" t="s">
        <v>473</v>
      </c>
      <c r="X757" t="s">
        <v>675</v>
      </c>
    </row>
    <row r="758" spans="23:24" x14ac:dyDescent="0.2">
      <c r="W758" t="s">
        <v>474</v>
      </c>
      <c r="X758" t="s">
        <v>675</v>
      </c>
    </row>
    <row r="759" spans="23:24" x14ac:dyDescent="0.2">
      <c r="W759" t="s">
        <v>475</v>
      </c>
      <c r="X759" t="s">
        <v>675</v>
      </c>
    </row>
    <row r="760" spans="23:24" x14ac:dyDescent="0.2">
      <c r="W760" t="s">
        <v>476</v>
      </c>
      <c r="X760" t="s">
        <v>675</v>
      </c>
    </row>
    <row r="761" spans="23:24" x14ac:dyDescent="0.2">
      <c r="W761" t="s">
        <v>477</v>
      </c>
      <c r="X761" t="s">
        <v>675</v>
      </c>
    </row>
    <row r="762" spans="23:24" x14ac:dyDescent="0.2">
      <c r="W762" t="s">
        <v>436</v>
      </c>
      <c r="X762" t="s">
        <v>675</v>
      </c>
    </row>
    <row r="763" spans="23:24" x14ac:dyDescent="0.2">
      <c r="W763" t="s">
        <v>437</v>
      </c>
      <c r="X763" t="s">
        <v>675</v>
      </c>
    </row>
    <row r="764" spans="23:24" x14ac:dyDescent="0.2">
      <c r="W764" t="s">
        <v>438</v>
      </c>
      <c r="X764" t="s">
        <v>675</v>
      </c>
    </row>
    <row r="765" spans="23:24" x14ac:dyDescent="0.2">
      <c r="W765" t="s">
        <v>439</v>
      </c>
      <c r="X765" t="s">
        <v>675</v>
      </c>
    </row>
    <row r="766" spans="23:24" x14ac:dyDescent="0.2">
      <c r="W766" t="s">
        <v>440</v>
      </c>
      <c r="X766" t="s">
        <v>675</v>
      </c>
    </row>
    <row r="767" spans="23:24" x14ac:dyDescent="0.2">
      <c r="W767" t="s">
        <v>441</v>
      </c>
      <c r="X767" t="s">
        <v>675</v>
      </c>
    </row>
    <row r="768" spans="23:24" x14ac:dyDescent="0.2">
      <c r="W768" t="s">
        <v>442</v>
      </c>
      <c r="X768" t="s">
        <v>675</v>
      </c>
    </row>
    <row r="769" spans="23:24" x14ac:dyDescent="0.2">
      <c r="W769" t="s">
        <v>443</v>
      </c>
      <c r="X769" t="s">
        <v>675</v>
      </c>
    </row>
    <row r="770" spans="23:24" x14ac:dyDescent="0.2">
      <c r="W770" t="s">
        <v>444</v>
      </c>
      <c r="X770" t="s">
        <v>675</v>
      </c>
    </row>
    <row r="771" spans="23:24" x14ac:dyDescent="0.2">
      <c r="W771" t="s">
        <v>445</v>
      </c>
      <c r="X771" t="s">
        <v>675</v>
      </c>
    </row>
    <row r="772" spans="23:24" x14ac:dyDescent="0.2">
      <c r="W772" t="s">
        <v>446</v>
      </c>
      <c r="X772" t="s">
        <v>675</v>
      </c>
    </row>
    <row r="773" spans="23:24" x14ac:dyDescent="0.2">
      <c r="W773" t="s">
        <v>447</v>
      </c>
      <c r="X773" t="s">
        <v>675</v>
      </c>
    </row>
    <row r="774" spans="23:24" x14ac:dyDescent="0.2">
      <c r="W774" t="s">
        <v>448</v>
      </c>
      <c r="X774" t="s">
        <v>675</v>
      </c>
    </row>
    <row r="775" spans="23:24" x14ac:dyDescent="0.2">
      <c r="W775" t="s">
        <v>449</v>
      </c>
      <c r="X775" t="s">
        <v>675</v>
      </c>
    </row>
    <row r="776" spans="23:24" x14ac:dyDescent="0.2">
      <c r="W776" t="s">
        <v>450</v>
      </c>
      <c r="X776" t="s">
        <v>675</v>
      </c>
    </row>
    <row r="777" spans="23:24" x14ac:dyDescent="0.2">
      <c r="W777" t="s">
        <v>451</v>
      </c>
      <c r="X777" t="s">
        <v>675</v>
      </c>
    </row>
    <row r="778" spans="23:24" x14ac:dyDescent="0.2">
      <c r="W778" t="s">
        <v>452</v>
      </c>
      <c r="X778" t="s">
        <v>675</v>
      </c>
    </row>
    <row r="779" spans="23:24" x14ac:dyDescent="0.2">
      <c r="W779" t="s">
        <v>453</v>
      </c>
      <c r="X779" t="s">
        <v>675</v>
      </c>
    </row>
    <row r="780" spans="23:24" x14ac:dyDescent="0.2">
      <c r="W780" t="s">
        <v>454</v>
      </c>
      <c r="X780" t="s">
        <v>675</v>
      </c>
    </row>
    <row r="781" spans="23:24" x14ac:dyDescent="0.2">
      <c r="W781" t="s">
        <v>455</v>
      </c>
      <c r="X781" t="s">
        <v>675</v>
      </c>
    </row>
    <row r="782" spans="23:24" x14ac:dyDescent="0.2">
      <c r="W782" t="s">
        <v>456</v>
      </c>
      <c r="X782" t="s">
        <v>675</v>
      </c>
    </row>
    <row r="783" spans="23:24" x14ac:dyDescent="0.2">
      <c r="W783" t="s">
        <v>457</v>
      </c>
      <c r="X783" t="s">
        <v>675</v>
      </c>
    </row>
    <row r="784" spans="23:24" x14ac:dyDescent="0.2">
      <c r="W784" t="s">
        <v>458</v>
      </c>
      <c r="X784" t="s">
        <v>675</v>
      </c>
    </row>
    <row r="785" spans="23:24" x14ac:dyDescent="0.2">
      <c r="W785" t="s">
        <v>459</v>
      </c>
      <c r="X785" t="s">
        <v>675</v>
      </c>
    </row>
    <row r="786" spans="23:24" x14ac:dyDescent="0.2">
      <c r="W786" t="s">
        <v>460</v>
      </c>
      <c r="X786" t="s">
        <v>675</v>
      </c>
    </row>
    <row r="787" spans="23:24" x14ac:dyDescent="0.2">
      <c r="W787" t="s">
        <v>461</v>
      </c>
      <c r="X787" t="s">
        <v>675</v>
      </c>
    </row>
    <row r="788" spans="23:24" x14ac:dyDescent="0.2">
      <c r="W788" t="s">
        <v>462</v>
      </c>
      <c r="X788" t="s">
        <v>675</v>
      </c>
    </row>
    <row r="789" spans="23:24" x14ac:dyDescent="0.2">
      <c r="W789" t="s">
        <v>463</v>
      </c>
      <c r="X789" t="s">
        <v>675</v>
      </c>
    </row>
    <row r="790" spans="23:24" x14ac:dyDescent="0.2">
      <c r="W790" t="s">
        <v>464</v>
      </c>
      <c r="X790" t="s">
        <v>675</v>
      </c>
    </row>
    <row r="791" spans="23:24" x14ac:dyDescent="0.2">
      <c r="W791" t="s">
        <v>465</v>
      </c>
      <c r="X791" t="s">
        <v>675</v>
      </c>
    </row>
    <row r="792" spans="23:24" x14ac:dyDescent="0.2">
      <c r="W792" t="s">
        <v>466</v>
      </c>
      <c r="X792" t="s">
        <v>675</v>
      </c>
    </row>
    <row r="793" spans="23:24" x14ac:dyDescent="0.2">
      <c r="W793" t="s">
        <v>467</v>
      </c>
      <c r="X793" t="s">
        <v>675</v>
      </c>
    </row>
    <row r="794" spans="23:24" x14ac:dyDescent="0.2">
      <c r="W794" t="s">
        <v>468</v>
      </c>
      <c r="X794" t="s">
        <v>675</v>
      </c>
    </row>
    <row r="795" spans="23:24" x14ac:dyDescent="0.2">
      <c r="W795" t="s">
        <v>469</v>
      </c>
      <c r="X795" t="s">
        <v>675</v>
      </c>
    </row>
    <row r="796" spans="23:24" x14ac:dyDescent="0.2">
      <c r="W796" t="s">
        <v>470</v>
      </c>
      <c r="X796" t="s">
        <v>675</v>
      </c>
    </row>
    <row r="797" spans="23:24" x14ac:dyDescent="0.2">
      <c r="W797" t="s">
        <v>471</v>
      </c>
      <c r="X797" t="s">
        <v>675</v>
      </c>
    </row>
    <row r="798" spans="23:24" x14ac:dyDescent="0.2">
      <c r="W798" t="s">
        <v>472</v>
      </c>
      <c r="X798" t="s">
        <v>675</v>
      </c>
    </row>
    <row r="799" spans="23:24" x14ac:dyDescent="0.2">
      <c r="W799" t="s">
        <v>473</v>
      </c>
      <c r="X799" t="s">
        <v>675</v>
      </c>
    </row>
    <row r="800" spans="23:24" x14ac:dyDescent="0.2">
      <c r="W800" t="s">
        <v>474</v>
      </c>
      <c r="X800" t="s">
        <v>675</v>
      </c>
    </row>
    <row r="801" spans="23:24" x14ac:dyDescent="0.2">
      <c r="W801" t="s">
        <v>475</v>
      </c>
      <c r="X801" t="s">
        <v>675</v>
      </c>
    </row>
    <row r="802" spans="23:24" x14ac:dyDescent="0.2">
      <c r="W802" t="s">
        <v>476</v>
      </c>
      <c r="X802" t="s">
        <v>675</v>
      </c>
    </row>
    <row r="803" spans="23:24" x14ac:dyDescent="0.2">
      <c r="W803" t="s">
        <v>477</v>
      </c>
      <c r="X803" t="s">
        <v>675</v>
      </c>
    </row>
    <row r="804" spans="23:24" x14ac:dyDescent="0.2">
      <c r="W804" t="s">
        <v>478</v>
      </c>
      <c r="X804" t="s">
        <v>675</v>
      </c>
    </row>
    <row r="805" spans="23:24" x14ac:dyDescent="0.2">
      <c r="W805" t="s">
        <v>479</v>
      </c>
      <c r="X805" t="s">
        <v>675</v>
      </c>
    </row>
    <row r="806" spans="23:24" x14ac:dyDescent="0.2">
      <c r="W806" t="s">
        <v>480</v>
      </c>
      <c r="X806" t="s">
        <v>675</v>
      </c>
    </row>
    <row r="807" spans="23:24" x14ac:dyDescent="0.2">
      <c r="W807" t="s">
        <v>481</v>
      </c>
      <c r="X807" t="s">
        <v>675</v>
      </c>
    </row>
    <row r="808" spans="23:24" x14ac:dyDescent="0.2">
      <c r="W808" t="s">
        <v>482</v>
      </c>
      <c r="X808" t="s">
        <v>675</v>
      </c>
    </row>
    <row r="809" spans="23:24" x14ac:dyDescent="0.2">
      <c r="W809" t="s">
        <v>483</v>
      </c>
      <c r="X809" t="s">
        <v>675</v>
      </c>
    </row>
    <row r="810" spans="23:24" x14ac:dyDescent="0.2">
      <c r="W810" t="s">
        <v>484</v>
      </c>
      <c r="X810" t="s">
        <v>675</v>
      </c>
    </row>
    <row r="811" spans="23:24" x14ac:dyDescent="0.2">
      <c r="W811" t="s">
        <v>485</v>
      </c>
      <c r="X811" t="s">
        <v>675</v>
      </c>
    </row>
    <row r="812" spans="23:24" x14ac:dyDescent="0.2">
      <c r="W812" t="s">
        <v>486</v>
      </c>
      <c r="X812" t="s">
        <v>675</v>
      </c>
    </row>
    <row r="813" spans="23:24" x14ac:dyDescent="0.2">
      <c r="W813" t="s">
        <v>487</v>
      </c>
      <c r="X813" t="s">
        <v>675</v>
      </c>
    </row>
    <row r="814" spans="23:24" x14ac:dyDescent="0.2">
      <c r="W814" t="s">
        <v>488</v>
      </c>
      <c r="X814" t="s">
        <v>675</v>
      </c>
    </row>
    <row r="815" spans="23:24" x14ac:dyDescent="0.2">
      <c r="W815" t="s">
        <v>489</v>
      </c>
      <c r="X815" t="s">
        <v>675</v>
      </c>
    </row>
    <row r="816" spans="23:24" x14ac:dyDescent="0.2">
      <c r="W816" t="s">
        <v>490</v>
      </c>
      <c r="X816" t="s">
        <v>675</v>
      </c>
    </row>
    <row r="817" spans="23:24" x14ac:dyDescent="0.2">
      <c r="W817" t="s">
        <v>491</v>
      </c>
      <c r="X817" t="s">
        <v>675</v>
      </c>
    </row>
    <row r="818" spans="23:24" x14ac:dyDescent="0.2">
      <c r="W818" t="s">
        <v>492</v>
      </c>
      <c r="X818" t="s">
        <v>675</v>
      </c>
    </row>
    <row r="819" spans="23:24" x14ac:dyDescent="0.2">
      <c r="W819" t="s">
        <v>493</v>
      </c>
      <c r="X819" t="s">
        <v>675</v>
      </c>
    </row>
    <row r="820" spans="23:24" x14ac:dyDescent="0.2">
      <c r="W820" t="s">
        <v>494</v>
      </c>
      <c r="X820" t="s">
        <v>675</v>
      </c>
    </row>
    <row r="821" spans="23:24" x14ac:dyDescent="0.2">
      <c r="W821" t="s">
        <v>495</v>
      </c>
      <c r="X821" t="s">
        <v>675</v>
      </c>
    </row>
    <row r="822" spans="23:24" x14ac:dyDescent="0.2">
      <c r="W822" t="s">
        <v>496</v>
      </c>
      <c r="X822" t="s">
        <v>675</v>
      </c>
    </row>
    <row r="823" spans="23:24" x14ac:dyDescent="0.2">
      <c r="W823" t="s">
        <v>497</v>
      </c>
      <c r="X823" t="s">
        <v>675</v>
      </c>
    </row>
    <row r="824" spans="23:24" x14ac:dyDescent="0.2">
      <c r="W824" t="s">
        <v>167</v>
      </c>
      <c r="X824" t="s">
        <v>675</v>
      </c>
    </row>
    <row r="825" spans="23:24" x14ac:dyDescent="0.2">
      <c r="W825" t="s">
        <v>498</v>
      </c>
      <c r="X825" t="s">
        <v>675</v>
      </c>
    </row>
    <row r="826" spans="23:24" x14ac:dyDescent="0.2">
      <c r="W826" t="s">
        <v>499</v>
      </c>
      <c r="X826" t="s">
        <v>675</v>
      </c>
    </row>
    <row r="827" spans="23:24" x14ac:dyDescent="0.2">
      <c r="W827" t="s">
        <v>500</v>
      </c>
      <c r="X827" t="s">
        <v>675</v>
      </c>
    </row>
    <row r="828" spans="23:24" x14ac:dyDescent="0.2">
      <c r="W828" t="s">
        <v>501</v>
      </c>
      <c r="X828" t="s">
        <v>675</v>
      </c>
    </row>
    <row r="829" spans="23:24" x14ac:dyDescent="0.2">
      <c r="W829" t="s">
        <v>502</v>
      </c>
      <c r="X829" t="s">
        <v>675</v>
      </c>
    </row>
    <row r="830" spans="23:24" x14ac:dyDescent="0.2">
      <c r="W830" t="s">
        <v>503</v>
      </c>
      <c r="X830" t="s">
        <v>675</v>
      </c>
    </row>
    <row r="831" spans="23:24" x14ac:dyDescent="0.2">
      <c r="W831" t="s">
        <v>504</v>
      </c>
      <c r="X831" t="s">
        <v>675</v>
      </c>
    </row>
    <row r="832" spans="23:24" x14ac:dyDescent="0.2">
      <c r="W832" t="s">
        <v>505</v>
      </c>
      <c r="X832" t="s">
        <v>675</v>
      </c>
    </row>
    <row r="833" spans="23:24" x14ac:dyDescent="0.2">
      <c r="W833" t="s">
        <v>453</v>
      </c>
      <c r="X833" t="s">
        <v>675</v>
      </c>
    </row>
    <row r="834" spans="23:24" x14ac:dyDescent="0.2">
      <c r="W834" t="s">
        <v>454</v>
      </c>
      <c r="X834" t="s">
        <v>675</v>
      </c>
    </row>
    <row r="835" spans="23:24" x14ac:dyDescent="0.2">
      <c r="W835" t="s">
        <v>455</v>
      </c>
      <c r="X835" t="s">
        <v>675</v>
      </c>
    </row>
    <row r="836" spans="23:24" x14ac:dyDescent="0.2">
      <c r="W836" t="s">
        <v>456</v>
      </c>
      <c r="X836" t="s">
        <v>675</v>
      </c>
    </row>
    <row r="837" spans="23:24" x14ac:dyDescent="0.2">
      <c r="W837" t="s">
        <v>457</v>
      </c>
      <c r="X837" t="s">
        <v>675</v>
      </c>
    </row>
    <row r="838" spans="23:24" x14ac:dyDescent="0.2">
      <c r="W838" t="s">
        <v>458</v>
      </c>
      <c r="X838" t="s">
        <v>675</v>
      </c>
    </row>
    <row r="839" spans="23:24" x14ac:dyDescent="0.2">
      <c r="W839" t="s">
        <v>459</v>
      </c>
      <c r="X839" t="s">
        <v>675</v>
      </c>
    </row>
    <row r="840" spans="23:24" x14ac:dyDescent="0.2">
      <c r="W840" t="s">
        <v>460</v>
      </c>
      <c r="X840" t="s">
        <v>675</v>
      </c>
    </row>
    <row r="841" spans="23:24" x14ac:dyDescent="0.2">
      <c r="W841" t="s">
        <v>461</v>
      </c>
      <c r="X841" t="s">
        <v>675</v>
      </c>
    </row>
    <row r="842" spans="23:24" x14ac:dyDescent="0.2">
      <c r="W842" t="s">
        <v>462</v>
      </c>
      <c r="X842" t="s">
        <v>675</v>
      </c>
    </row>
    <row r="843" spans="23:24" x14ac:dyDescent="0.2">
      <c r="W843" t="s">
        <v>463</v>
      </c>
      <c r="X843" t="s">
        <v>675</v>
      </c>
    </row>
    <row r="844" spans="23:24" x14ac:dyDescent="0.2">
      <c r="W844" t="s">
        <v>464</v>
      </c>
      <c r="X844" t="s">
        <v>675</v>
      </c>
    </row>
    <row r="845" spans="23:24" x14ac:dyDescent="0.2">
      <c r="W845" t="s">
        <v>465</v>
      </c>
      <c r="X845" t="s">
        <v>675</v>
      </c>
    </row>
    <row r="846" spans="23:24" x14ac:dyDescent="0.2">
      <c r="W846" t="s">
        <v>466</v>
      </c>
      <c r="X846" t="s">
        <v>675</v>
      </c>
    </row>
    <row r="847" spans="23:24" x14ac:dyDescent="0.2">
      <c r="W847" t="s">
        <v>467</v>
      </c>
      <c r="X847" t="s">
        <v>675</v>
      </c>
    </row>
    <row r="848" spans="23:24" x14ac:dyDescent="0.2">
      <c r="W848" t="s">
        <v>468</v>
      </c>
      <c r="X848" t="s">
        <v>675</v>
      </c>
    </row>
    <row r="849" spans="23:24" x14ac:dyDescent="0.2">
      <c r="W849" t="s">
        <v>469</v>
      </c>
      <c r="X849" t="s">
        <v>675</v>
      </c>
    </row>
    <row r="850" spans="23:24" x14ac:dyDescent="0.2">
      <c r="W850" t="s">
        <v>470</v>
      </c>
      <c r="X850" t="s">
        <v>675</v>
      </c>
    </row>
    <row r="851" spans="23:24" x14ac:dyDescent="0.2">
      <c r="W851" t="s">
        <v>471</v>
      </c>
      <c r="X851" t="s">
        <v>675</v>
      </c>
    </row>
    <row r="852" spans="23:24" x14ac:dyDescent="0.2">
      <c r="W852" t="s">
        <v>472</v>
      </c>
      <c r="X852" t="s">
        <v>675</v>
      </c>
    </row>
    <row r="853" spans="23:24" x14ac:dyDescent="0.2">
      <c r="W853" t="s">
        <v>473</v>
      </c>
      <c r="X853" t="s">
        <v>675</v>
      </c>
    </row>
    <row r="854" spans="23:24" x14ac:dyDescent="0.2">
      <c r="W854" t="s">
        <v>474</v>
      </c>
      <c r="X854" t="s">
        <v>675</v>
      </c>
    </row>
    <row r="855" spans="23:24" x14ac:dyDescent="0.2">
      <c r="W855" t="s">
        <v>475</v>
      </c>
      <c r="X855" t="s">
        <v>675</v>
      </c>
    </row>
    <row r="856" spans="23:24" x14ac:dyDescent="0.2">
      <c r="W856" t="s">
        <v>476</v>
      </c>
      <c r="X856" t="s">
        <v>675</v>
      </c>
    </row>
    <row r="857" spans="23:24" x14ac:dyDescent="0.2">
      <c r="W857" t="s">
        <v>477</v>
      </c>
      <c r="X857" t="s">
        <v>675</v>
      </c>
    </row>
    <row r="858" spans="23:24" x14ac:dyDescent="0.2">
      <c r="W858" t="s">
        <v>478</v>
      </c>
      <c r="X858" t="s">
        <v>675</v>
      </c>
    </row>
    <row r="859" spans="23:24" x14ac:dyDescent="0.2">
      <c r="W859" t="s">
        <v>479</v>
      </c>
      <c r="X859" t="s">
        <v>675</v>
      </c>
    </row>
    <row r="860" spans="23:24" x14ac:dyDescent="0.2">
      <c r="W860" t="s">
        <v>480</v>
      </c>
      <c r="X860" t="s">
        <v>675</v>
      </c>
    </row>
    <row r="861" spans="23:24" x14ac:dyDescent="0.2">
      <c r="W861" t="s">
        <v>481</v>
      </c>
      <c r="X861" t="s">
        <v>675</v>
      </c>
    </row>
    <row r="862" spans="23:24" x14ac:dyDescent="0.2">
      <c r="W862" t="s">
        <v>482</v>
      </c>
      <c r="X862" t="s">
        <v>675</v>
      </c>
    </row>
    <row r="863" spans="23:24" x14ac:dyDescent="0.2">
      <c r="W863" t="s">
        <v>483</v>
      </c>
      <c r="X863" t="s">
        <v>675</v>
      </c>
    </row>
    <row r="864" spans="23:24" x14ac:dyDescent="0.2">
      <c r="W864" t="s">
        <v>484</v>
      </c>
      <c r="X864" t="s">
        <v>675</v>
      </c>
    </row>
    <row r="865" spans="23:24" x14ac:dyDescent="0.2">
      <c r="W865" t="s">
        <v>485</v>
      </c>
      <c r="X865" t="s">
        <v>675</v>
      </c>
    </row>
    <row r="866" spans="23:24" x14ac:dyDescent="0.2">
      <c r="W866" t="s">
        <v>486</v>
      </c>
      <c r="X866" t="s">
        <v>675</v>
      </c>
    </row>
    <row r="867" spans="23:24" x14ac:dyDescent="0.2">
      <c r="W867" t="s">
        <v>487</v>
      </c>
      <c r="X867" t="s">
        <v>675</v>
      </c>
    </row>
    <row r="868" spans="23:24" x14ac:dyDescent="0.2">
      <c r="W868" t="s">
        <v>488</v>
      </c>
      <c r="X868" t="s">
        <v>675</v>
      </c>
    </row>
    <row r="869" spans="23:24" x14ac:dyDescent="0.2">
      <c r="W869" t="s">
        <v>489</v>
      </c>
      <c r="X869" t="s">
        <v>675</v>
      </c>
    </row>
    <row r="870" spans="23:24" x14ac:dyDescent="0.2">
      <c r="W870" t="s">
        <v>490</v>
      </c>
      <c r="X870" t="s">
        <v>675</v>
      </c>
    </row>
    <row r="871" spans="23:24" x14ac:dyDescent="0.2">
      <c r="W871" t="s">
        <v>491</v>
      </c>
      <c r="X871" t="s">
        <v>675</v>
      </c>
    </row>
    <row r="872" spans="23:24" x14ac:dyDescent="0.2">
      <c r="W872" t="s">
        <v>492</v>
      </c>
      <c r="X872" t="s">
        <v>675</v>
      </c>
    </row>
    <row r="873" spans="23:24" x14ac:dyDescent="0.2">
      <c r="W873" t="s">
        <v>493</v>
      </c>
      <c r="X873" t="s">
        <v>675</v>
      </c>
    </row>
    <row r="874" spans="23:24" x14ac:dyDescent="0.2">
      <c r="W874" t="s">
        <v>494</v>
      </c>
      <c r="X874" t="s">
        <v>675</v>
      </c>
    </row>
    <row r="875" spans="23:24" x14ac:dyDescent="0.2">
      <c r="W875" t="s">
        <v>495</v>
      </c>
      <c r="X875" t="s">
        <v>675</v>
      </c>
    </row>
    <row r="876" spans="23:24" x14ac:dyDescent="0.2">
      <c r="W876" t="s">
        <v>496</v>
      </c>
      <c r="X876" t="s">
        <v>675</v>
      </c>
    </row>
    <row r="877" spans="23:24" x14ac:dyDescent="0.2">
      <c r="W877" t="s">
        <v>497</v>
      </c>
      <c r="X877" t="s">
        <v>675</v>
      </c>
    </row>
    <row r="878" spans="23:24" x14ac:dyDescent="0.2">
      <c r="W878" t="s">
        <v>167</v>
      </c>
      <c r="X878" t="s">
        <v>675</v>
      </c>
    </row>
    <row r="879" spans="23:24" x14ac:dyDescent="0.2">
      <c r="W879" t="s">
        <v>498</v>
      </c>
      <c r="X879" t="s">
        <v>675</v>
      </c>
    </row>
    <row r="880" spans="23:24" x14ac:dyDescent="0.2">
      <c r="W880" t="s">
        <v>499</v>
      </c>
      <c r="X880" t="s">
        <v>675</v>
      </c>
    </row>
    <row r="881" spans="23:24" x14ac:dyDescent="0.2">
      <c r="W881" t="s">
        <v>500</v>
      </c>
      <c r="X881" t="s">
        <v>675</v>
      </c>
    </row>
    <row r="882" spans="23:24" x14ac:dyDescent="0.2">
      <c r="W882" t="s">
        <v>501</v>
      </c>
      <c r="X882" t="s">
        <v>675</v>
      </c>
    </row>
    <row r="883" spans="23:24" x14ac:dyDescent="0.2">
      <c r="W883" t="s">
        <v>502</v>
      </c>
      <c r="X883" t="s">
        <v>675</v>
      </c>
    </row>
    <row r="884" spans="23:24" x14ac:dyDescent="0.2">
      <c r="W884" t="s">
        <v>503</v>
      </c>
      <c r="X884" t="s">
        <v>675</v>
      </c>
    </row>
    <row r="885" spans="23:24" x14ac:dyDescent="0.2">
      <c r="W885" t="s">
        <v>504</v>
      </c>
      <c r="X885" t="s">
        <v>675</v>
      </c>
    </row>
    <row r="886" spans="23:24" x14ac:dyDescent="0.2">
      <c r="W886" t="s">
        <v>505</v>
      </c>
      <c r="X886" t="s">
        <v>675</v>
      </c>
    </row>
    <row r="887" spans="23:24" x14ac:dyDescent="0.2">
      <c r="W887" t="s">
        <v>506</v>
      </c>
      <c r="X887" t="s">
        <v>675</v>
      </c>
    </row>
    <row r="888" spans="23:24" x14ac:dyDescent="0.2">
      <c r="W888" t="s">
        <v>507</v>
      </c>
      <c r="X888" t="s">
        <v>675</v>
      </c>
    </row>
    <row r="889" spans="23:24" x14ac:dyDescent="0.2">
      <c r="W889" t="s">
        <v>508</v>
      </c>
      <c r="X889" t="s">
        <v>675</v>
      </c>
    </row>
    <row r="890" spans="23:24" x14ac:dyDescent="0.2">
      <c r="W890" t="s">
        <v>509</v>
      </c>
      <c r="X890" t="s">
        <v>675</v>
      </c>
    </row>
    <row r="891" spans="23:24" x14ac:dyDescent="0.2">
      <c r="W891" t="s">
        <v>510</v>
      </c>
      <c r="X891" t="s">
        <v>675</v>
      </c>
    </row>
    <row r="892" spans="23:24" x14ac:dyDescent="0.2">
      <c r="W892" t="s">
        <v>511</v>
      </c>
      <c r="X892" t="s">
        <v>675</v>
      </c>
    </row>
    <row r="893" spans="23:24" x14ac:dyDescent="0.2">
      <c r="W893" t="s">
        <v>512</v>
      </c>
      <c r="X893" t="s">
        <v>675</v>
      </c>
    </row>
    <row r="894" spans="23:24" x14ac:dyDescent="0.2">
      <c r="W894" t="s">
        <v>513</v>
      </c>
      <c r="X894" t="s">
        <v>675</v>
      </c>
    </row>
    <row r="895" spans="23:24" x14ac:dyDescent="0.2">
      <c r="W895" t="s">
        <v>514</v>
      </c>
      <c r="X895" t="s">
        <v>675</v>
      </c>
    </row>
    <row r="896" spans="23:24" x14ac:dyDescent="0.2">
      <c r="W896" t="s">
        <v>515</v>
      </c>
      <c r="X896" t="s">
        <v>675</v>
      </c>
    </row>
    <row r="897" spans="23:24" x14ac:dyDescent="0.2">
      <c r="W897" t="s">
        <v>516</v>
      </c>
      <c r="X897" t="s">
        <v>675</v>
      </c>
    </row>
    <row r="898" spans="23:24" x14ac:dyDescent="0.2">
      <c r="W898" t="s">
        <v>517</v>
      </c>
      <c r="X898" t="s">
        <v>675</v>
      </c>
    </row>
    <row r="899" spans="23:24" x14ac:dyDescent="0.2">
      <c r="W899" t="s">
        <v>518</v>
      </c>
      <c r="X899" t="s">
        <v>675</v>
      </c>
    </row>
    <row r="900" spans="23:24" x14ac:dyDescent="0.2">
      <c r="W900" t="s">
        <v>519</v>
      </c>
      <c r="X900" t="s">
        <v>675</v>
      </c>
    </row>
    <row r="901" spans="23:24" x14ac:dyDescent="0.2">
      <c r="W901" t="s">
        <v>520</v>
      </c>
      <c r="X901" t="s">
        <v>675</v>
      </c>
    </row>
    <row r="902" spans="23:24" x14ac:dyDescent="0.2">
      <c r="W902" t="s">
        <v>521</v>
      </c>
      <c r="X902" t="s">
        <v>675</v>
      </c>
    </row>
    <row r="903" spans="23:24" x14ac:dyDescent="0.2">
      <c r="W903" t="s">
        <v>467</v>
      </c>
      <c r="X903" t="s">
        <v>675</v>
      </c>
    </row>
    <row r="904" spans="23:24" x14ac:dyDescent="0.2">
      <c r="W904" t="s">
        <v>468</v>
      </c>
      <c r="X904" t="s">
        <v>675</v>
      </c>
    </row>
    <row r="905" spans="23:24" x14ac:dyDescent="0.2">
      <c r="W905" t="s">
        <v>469</v>
      </c>
      <c r="X905" t="s">
        <v>675</v>
      </c>
    </row>
    <row r="906" spans="23:24" x14ac:dyDescent="0.2">
      <c r="W906" t="s">
        <v>470</v>
      </c>
      <c r="X906" t="s">
        <v>675</v>
      </c>
    </row>
    <row r="907" spans="23:24" x14ac:dyDescent="0.2">
      <c r="W907" t="s">
        <v>471</v>
      </c>
      <c r="X907" t="s">
        <v>675</v>
      </c>
    </row>
    <row r="908" spans="23:24" x14ac:dyDescent="0.2">
      <c r="W908" t="s">
        <v>472</v>
      </c>
      <c r="X908" t="s">
        <v>675</v>
      </c>
    </row>
    <row r="909" spans="23:24" x14ac:dyDescent="0.2">
      <c r="W909" t="s">
        <v>473</v>
      </c>
      <c r="X909" t="s">
        <v>675</v>
      </c>
    </row>
    <row r="910" spans="23:24" x14ac:dyDescent="0.2">
      <c r="W910" t="s">
        <v>474</v>
      </c>
      <c r="X910" t="s">
        <v>675</v>
      </c>
    </row>
    <row r="911" spans="23:24" x14ac:dyDescent="0.2">
      <c r="W911" t="s">
        <v>475</v>
      </c>
      <c r="X911" t="s">
        <v>675</v>
      </c>
    </row>
    <row r="912" spans="23:24" x14ac:dyDescent="0.2">
      <c r="W912" t="s">
        <v>476</v>
      </c>
      <c r="X912" t="s">
        <v>675</v>
      </c>
    </row>
    <row r="913" spans="23:24" x14ac:dyDescent="0.2">
      <c r="W913" t="s">
        <v>477</v>
      </c>
      <c r="X913" t="s">
        <v>675</v>
      </c>
    </row>
    <row r="914" spans="23:24" x14ac:dyDescent="0.2">
      <c r="W914" t="s">
        <v>478</v>
      </c>
      <c r="X914" t="s">
        <v>675</v>
      </c>
    </row>
    <row r="915" spans="23:24" x14ac:dyDescent="0.2">
      <c r="W915" t="s">
        <v>479</v>
      </c>
      <c r="X915" t="s">
        <v>675</v>
      </c>
    </row>
    <row r="916" spans="23:24" x14ac:dyDescent="0.2">
      <c r="W916" t="s">
        <v>480</v>
      </c>
      <c r="X916" t="s">
        <v>675</v>
      </c>
    </row>
    <row r="917" spans="23:24" x14ac:dyDescent="0.2">
      <c r="W917" t="s">
        <v>481</v>
      </c>
      <c r="X917" t="s">
        <v>675</v>
      </c>
    </row>
    <row r="918" spans="23:24" x14ac:dyDescent="0.2">
      <c r="W918" t="s">
        <v>482</v>
      </c>
      <c r="X918" t="s">
        <v>675</v>
      </c>
    </row>
    <row r="919" spans="23:24" x14ac:dyDescent="0.2">
      <c r="W919" t="s">
        <v>483</v>
      </c>
      <c r="X919" t="s">
        <v>675</v>
      </c>
    </row>
    <row r="920" spans="23:24" x14ac:dyDescent="0.2">
      <c r="W920" t="s">
        <v>484</v>
      </c>
      <c r="X920" t="s">
        <v>675</v>
      </c>
    </row>
    <row r="921" spans="23:24" x14ac:dyDescent="0.2">
      <c r="W921" t="s">
        <v>485</v>
      </c>
      <c r="X921" t="s">
        <v>675</v>
      </c>
    </row>
    <row r="922" spans="23:24" x14ac:dyDescent="0.2">
      <c r="W922" t="s">
        <v>486</v>
      </c>
      <c r="X922" t="s">
        <v>675</v>
      </c>
    </row>
    <row r="923" spans="23:24" x14ac:dyDescent="0.2">
      <c r="W923" t="s">
        <v>487</v>
      </c>
      <c r="X923" t="s">
        <v>675</v>
      </c>
    </row>
    <row r="924" spans="23:24" x14ac:dyDescent="0.2">
      <c r="W924" t="s">
        <v>488</v>
      </c>
      <c r="X924" t="s">
        <v>675</v>
      </c>
    </row>
    <row r="925" spans="23:24" x14ac:dyDescent="0.2">
      <c r="W925" t="s">
        <v>489</v>
      </c>
      <c r="X925" t="s">
        <v>675</v>
      </c>
    </row>
    <row r="926" spans="23:24" x14ac:dyDescent="0.2">
      <c r="W926" t="s">
        <v>490</v>
      </c>
      <c r="X926" t="s">
        <v>675</v>
      </c>
    </row>
    <row r="927" spans="23:24" x14ac:dyDescent="0.2">
      <c r="W927" t="s">
        <v>491</v>
      </c>
      <c r="X927" t="s">
        <v>675</v>
      </c>
    </row>
    <row r="928" spans="23:24" x14ac:dyDescent="0.2">
      <c r="W928" t="s">
        <v>492</v>
      </c>
      <c r="X928" t="s">
        <v>675</v>
      </c>
    </row>
    <row r="929" spans="23:24" x14ac:dyDescent="0.2">
      <c r="W929" t="s">
        <v>493</v>
      </c>
      <c r="X929" t="s">
        <v>675</v>
      </c>
    </row>
    <row r="930" spans="23:24" x14ac:dyDescent="0.2">
      <c r="W930" t="s">
        <v>494</v>
      </c>
      <c r="X930" t="s">
        <v>675</v>
      </c>
    </row>
    <row r="931" spans="23:24" x14ac:dyDescent="0.2">
      <c r="W931" t="s">
        <v>495</v>
      </c>
      <c r="X931" t="s">
        <v>675</v>
      </c>
    </row>
    <row r="932" spans="23:24" x14ac:dyDescent="0.2">
      <c r="W932" t="s">
        <v>496</v>
      </c>
      <c r="X932" t="s">
        <v>675</v>
      </c>
    </row>
    <row r="933" spans="23:24" x14ac:dyDescent="0.2">
      <c r="W933" t="s">
        <v>497</v>
      </c>
      <c r="X933" t="s">
        <v>675</v>
      </c>
    </row>
    <row r="934" spans="23:24" x14ac:dyDescent="0.2">
      <c r="W934" t="s">
        <v>167</v>
      </c>
      <c r="X934" t="s">
        <v>675</v>
      </c>
    </row>
    <row r="935" spans="23:24" x14ac:dyDescent="0.2">
      <c r="W935" t="s">
        <v>498</v>
      </c>
      <c r="X935" t="s">
        <v>675</v>
      </c>
    </row>
    <row r="936" spans="23:24" x14ac:dyDescent="0.2">
      <c r="W936" t="s">
        <v>499</v>
      </c>
      <c r="X936" t="s">
        <v>675</v>
      </c>
    </row>
    <row r="937" spans="23:24" x14ac:dyDescent="0.2">
      <c r="W937" t="s">
        <v>500</v>
      </c>
      <c r="X937" t="s">
        <v>675</v>
      </c>
    </row>
    <row r="938" spans="23:24" x14ac:dyDescent="0.2">
      <c r="W938" t="s">
        <v>501</v>
      </c>
      <c r="X938" t="s">
        <v>675</v>
      </c>
    </row>
    <row r="939" spans="23:24" x14ac:dyDescent="0.2">
      <c r="W939" t="s">
        <v>502</v>
      </c>
      <c r="X939" t="s">
        <v>675</v>
      </c>
    </row>
    <row r="940" spans="23:24" x14ac:dyDescent="0.2">
      <c r="W940" t="s">
        <v>503</v>
      </c>
      <c r="X940" t="s">
        <v>675</v>
      </c>
    </row>
    <row r="941" spans="23:24" x14ac:dyDescent="0.2">
      <c r="W941" t="s">
        <v>504</v>
      </c>
      <c r="X941" t="s">
        <v>675</v>
      </c>
    </row>
    <row r="942" spans="23:24" x14ac:dyDescent="0.2">
      <c r="W942" t="s">
        <v>505</v>
      </c>
      <c r="X942" t="s">
        <v>675</v>
      </c>
    </row>
    <row r="943" spans="23:24" x14ac:dyDescent="0.2">
      <c r="W943" t="s">
        <v>506</v>
      </c>
      <c r="X943" t="s">
        <v>675</v>
      </c>
    </row>
    <row r="944" spans="23:24" x14ac:dyDescent="0.2">
      <c r="W944" t="s">
        <v>507</v>
      </c>
      <c r="X944" t="s">
        <v>675</v>
      </c>
    </row>
    <row r="945" spans="23:24" x14ac:dyDescent="0.2">
      <c r="W945" t="s">
        <v>508</v>
      </c>
      <c r="X945" t="s">
        <v>675</v>
      </c>
    </row>
    <row r="946" spans="23:24" x14ac:dyDescent="0.2">
      <c r="W946" t="s">
        <v>509</v>
      </c>
      <c r="X946" t="s">
        <v>675</v>
      </c>
    </row>
    <row r="947" spans="23:24" x14ac:dyDescent="0.2">
      <c r="W947" t="s">
        <v>510</v>
      </c>
      <c r="X947" t="s">
        <v>675</v>
      </c>
    </row>
    <row r="948" spans="23:24" x14ac:dyDescent="0.2">
      <c r="W948" t="s">
        <v>511</v>
      </c>
      <c r="X948" t="s">
        <v>675</v>
      </c>
    </row>
    <row r="949" spans="23:24" x14ac:dyDescent="0.2">
      <c r="W949" t="s">
        <v>512</v>
      </c>
      <c r="X949" t="s">
        <v>675</v>
      </c>
    </row>
    <row r="950" spans="23:24" x14ac:dyDescent="0.2">
      <c r="W950" t="s">
        <v>513</v>
      </c>
      <c r="X950" t="s">
        <v>675</v>
      </c>
    </row>
    <row r="951" spans="23:24" x14ac:dyDescent="0.2">
      <c r="W951" t="s">
        <v>514</v>
      </c>
      <c r="X951" t="s">
        <v>675</v>
      </c>
    </row>
    <row r="952" spans="23:24" x14ac:dyDescent="0.2">
      <c r="W952" t="s">
        <v>515</v>
      </c>
      <c r="X952" t="s">
        <v>675</v>
      </c>
    </row>
    <row r="953" spans="23:24" x14ac:dyDescent="0.2">
      <c r="W953" t="s">
        <v>516</v>
      </c>
      <c r="X953" t="s">
        <v>675</v>
      </c>
    </row>
    <row r="954" spans="23:24" x14ac:dyDescent="0.2">
      <c r="W954" t="s">
        <v>517</v>
      </c>
      <c r="X954" t="s">
        <v>675</v>
      </c>
    </row>
    <row r="955" spans="23:24" x14ac:dyDescent="0.2">
      <c r="W955" t="s">
        <v>518</v>
      </c>
      <c r="X955" t="s">
        <v>675</v>
      </c>
    </row>
    <row r="956" spans="23:24" x14ac:dyDescent="0.2">
      <c r="W956" t="s">
        <v>519</v>
      </c>
      <c r="X956" t="s">
        <v>675</v>
      </c>
    </row>
    <row r="957" spans="23:24" x14ac:dyDescent="0.2">
      <c r="W957" t="s">
        <v>520</v>
      </c>
      <c r="X957" t="s">
        <v>675</v>
      </c>
    </row>
    <row r="958" spans="23:24" x14ac:dyDescent="0.2">
      <c r="W958" t="s">
        <v>521</v>
      </c>
      <c r="X958" t="s">
        <v>675</v>
      </c>
    </row>
    <row r="959" spans="23:24" x14ac:dyDescent="0.2">
      <c r="W959" t="s">
        <v>478</v>
      </c>
      <c r="X959" t="s">
        <v>675</v>
      </c>
    </row>
    <row r="960" spans="23:24" x14ac:dyDescent="0.2">
      <c r="W960" t="s">
        <v>479</v>
      </c>
      <c r="X960" t="s">
        <v>675</v>
      </c>
    </row>
    <row r="961" spans="23:24" x14ac:dyDescent="0.2">
      <c r="W961" t="s">
        <v>480</v>
      </c>
      <c r="X961" t="s">
        <v>675</v>
      </c>
    </row>
    <row r="962" spans="23:24" x14ac:dyDescent="0.2">
      <c r="W962" t="s">
        <v>481</v>
      </c>
      <c r="X962" t="s">
        <v>675</v>
      </c>
    </row>
    <row r="963" spans="23:24" x14ac:dyDescent="0.2">
      <c r="W963" t="s">
        <v>482</v>
      </c>
      <c r="X963" t="s">
        <v>675</v>
      </c>
    </row>
    <row r="964" spans="23:24" x14ac:dyDescent="0.2">
      <c r="W964" t="s">
        <v>483</v>
      </c>
      <c r="X964" t="s">
        <v>675</v>
      </c>
    </row>
    <row r="965" spans="23:24" x14ac:dyDescent="0.2">
      <c r="W965" t="s">
        <v>484</v>
      </c>
      <c r="X965" t="s">
        <v>675</v>
      </c>
    </row>
    <row r="966" spans="23:24" x14ac:dyDescent="0.2">
      <c r="W966" t="s">
        <v>485</v>
      </c>
      <c r="X966" t="s">
        <v>675</v>
      </c>
    </row>
    <row r="967" spans="23:24" x14ac:dyDescent="0.2">
      <c r="W967" t="s">
        <v>486</v>
      </c>
      <c r="X967" t="s">
        <v>675</v>
      </c>
    </row>
    <row r="968" spans="23:24" x14ac:dyDescent="0.2">
      <c r="W968" t="s">
        <v>487</v>
      </c>
      <c r="X968" t="s">
        <v>675</v>
      </c>
    </row>
    <row r="969" spans="23:24" x14ac:dyDescent="0.2">
      <c r="W969" t="s">
        <v>488</v>
      </c>
      <c r="X969" t="s">
        <v>675</v>
      </c>
    </row>
    <row r="970" spans="23:24" x14ac:dyDescent="0.2">
      <c r="W970" t="s">
        <v>489</v>
      </c>
      <c r="X970" t="s">
        <v>675</v>
      </c>
    </row>
    <row r="971" spans="23:24" x14ac:dyDescent="0.2">
      <c r="W971" t="s">
        <v>490</v>
      </c>
      <c r="X971" t="s">
        <v>675</v>
      </c>
    </row>
    <row r="972" spans="23:24" x14ac:dyDescent="0.2">
      <c r="W972" t="s">
        <v>491</v>
      </c>
      <c r="X972" t="s">
        <v>675</v>
      </c>
    </row>
    <row r="973" spans="23:24" x14ac:dyDescent="0.2">
      <c r="W973" t="s">
        <v>492</v>
      </c>
      <c r="X973" t="s">
        <v>675</v>
      </c>
    </row>
    <row r="974" spans="23:24" x14ac:dyDescent="0.2">
      <c r="W974" t="s">
        <v>493</v>
      </c>
      <c r="X974" t="s">
        <v>675</v>
      </c>
    </row>
    <row r="975" spans="23:24" x14ac:dyDescent="0.2">
      <c r="W975" t="s">
        <v>494</v>
      </c>
      <c r="X975" t="s">
        <v>675</v>
      </c>
    </row>
    <row r="976" spans="23:24" x14ac:dyDescent="0.2">
      <c r="W976" t="s">
        <v>495</v>
      </c>
      <c r="X976" t="s">
        <v>675</v>
      </c>
    </row>
    <row r="977" spans="23:24" x14ac:dyDescent="0.2">
      <c r="W977" t="s">
        <v>496</v>
      </c>
      <c r="X977" t="s">
        <v>675</v>
      </c>
    </row>
    <row r="978" spans="23:24" x14ac:dyDescent="0.2">
      <c r="W978" t="s">
        <v>497</v>
      </c>
      <c r="X978" t="s">
        <v>675</v>
      </c>
    </row>
    <row r="979" spans="23:24" x14ac:dyDescent="0.2">
      <c r="W979" t="s">
        <v>167</v>
      </c>
      <c r="X979" t="s">
        <v>675</v>
      </c>
    </row>
    <row r="980" spans="23:24" x14ac:dyDescent="0.2">
      <c r="W980" t="s">
        <v>498</v>
      </c>
      <c r="X980" t="s">
        <v>675</v>
      </c>
    </row>
    <row r="981" spans="23:24" x14ac:dyDescent="0.2">
      <c r="W981" t="s">
        <v>499</v>
      </c>
      <c r="X981" t="s">
        <v>675</v>
      </c>
    </row>
    <row r="982" spans="23:24" x14ac:dyDescent="0.2">
      <c r="W982" t="s">
        <v>500</v>
      </c>
      <c r="X982" t="s">
        <v>675</v>
      </c>
    </row>
    <row r="983" spans="23:24" x14ac:dyDescent="0.2">
      <c r="W983" t="s">
        <v>501</v>
      </c>
      <c r="X983" t="s">
        <v>675</v>
      </c>
    </row>
    <row r="984" spans="23:24" x14ac:dyDescent="0.2">
      <c r="W984" t="s">
        <v>502</v>
      </c>
      <c r="X984" t="s">
        <v>675</v>
      </c>
    </row>
    <row r="985" spans="23:24" x14ac:dyDescent="0.2">
      <c r="W985" t="s">
        <v>503</v>
      </c>
      <c r="X985" t="s">
        <v>675</v>
      </c>
    </row>
    <row r="986" spans="23:24" x14ac:dyDescent="0.2">
      <c r="W986" t="s">
        <v>504</v>
      </c>
      <c r="X986" t="s">
        <v>675</v>
      </c>
    </row>
    <row r="987" spans="23:24" x14ac:dyDescent="0.2">
      <c r="W987" t="s">
        <v>505</v>
      </c>
      <c r="X987" t="s">
        <v>675</v>
      </c>
    </row>
    <row r="988" spans="23:24" x14ac:dyDescent="0.2">
      <c r="W988" t="s">
        <v>506</v>
      </c>
      <c r="X988" t="s">
        <v>675</v>
      </c>
    </row>
    <row r="989" spans="23:24" x14ac:dyDescent="0.2">
      <c r="W989" t="s">
        <v>507</v>
      </c>
      <c r="X989" t="s">
        <v>675</v>
      </c>
    </row>
    <row r="990" spans="23:24" x14ac:dyDescent="0.2">
      <c r="W990" t="s">
        <v>508</v>
      </c>
      <c r="X990" t="s">
        <v>675</v>
      </c>
    </row>
    <row r="991" spans="23:24" x14ac:dyDescent="0.2">
      <c r="W991" t="s">
        <v>509</v>
      </c>
      <c r="X991" t="s">
        <v>675</v>
      </c>
    </row>
    <row r="992" spans="23:24" x14ac:dyDescent="0.2">
      <c r="W992" t="s">
        <v>510</v>
      </c>
      <c r="X992" t="s">
        <v>675</v>
      </c>
    </row>
    <row r="993" spans="23:24" x14ac:dyDescent="0.2">
      <c r="W993" t="s">
        <v>511</v>
      </c>
      <c r="X993" t="s">
        <v>675</v>
      </c>
    </row>
    <row r="994" spans="23:24" x14ac:dyDescent="0.2">
      <c r="W994" t="s">
        <v>512</v>
      </c>
      <c r="X994" t="s">
        <v>675</v>
      </c>
    </row>
    <row r="995" spans="23:24" x14ac:dyDescent="0.2">
      <c r="W995" t="s">
        <v>513</v>
      </c>
      <c r="X995" t="s">
        <v>675</v>
      </c>
    </row>
    <row r="996" spans="23:24" x14ac:dyDescent="0.2">
      <c r="W996" t="s">
        <v>514</v>
      </c>
      <c r="X996" t="s">
        <v>675</v>
      </c>
    </row>
    <row r="997" spans="23:24" x14ac:dyDescent="0.2">
      <c r="W997" t="s">
        <v>515</v>
      </c>
      <c r="X997" t="s">
        <v>675</v>
      </c>
    </row>
    <row r="998" spans="23:24" x14ac:dyDescent="0.2">
      <c r="W998" t="s">
        <v>516</v>
      </c>
      <c r="X998" t="s">
        <v>675</v>
      </c>
    </row>
    <row r="999" spans="23:24" x14ac:dyDescent="0.2">
      <c r="W999" t="s">
        <v>517</v>
      </c>
      <c r="X999" t="s">
        <v>675</v>
      </c>
    </row>
    <row r="1000" spans="23:24" x14ac:dyDescent="0.2">
      <c r="W1000" t="s">
        <v>518</v>
      </c>
      <c r="X1000" t="s">
        <v>675</v>
      </c>
    </row>
    <row r="1001" spans="23:24" x14ac:dyDescent="0.2">
      <c r="W1001" t="s">
        <v>519</v>
      </c>
      <c r="X1001" t="s">
        <v>675</v>
      </c>
    </row>
    <row r="1002" spans="23:24" x14ac:dyDescent="0.2">
      <c r="W1002" t="s">
        <v>520</v>
      </c>
      <c r="X1002" t="s">
        <v>675</v>
      </c>
    </row>
    <row r="1003" spans="23:24" x14ac:dyDescent="0.2">
      <c r="W1003" t="s">
        <v>521</v>
      </c>
      <c r="X1003" t="s">
        <v>675</v>
      </c>
    </row>
    <row r="1004" spans="23:24" x14ac:dyDescent="0.2">
      <c r="W1004" t="s">
        <v>492</v>
      </c>
      <c r="X1004" t="s">
        <v>675</v>
      </c>
    </row>
    <row r="1005" spans="23:24" x14ac:dyDescent="0.2">
      <c r="W1005" t="s">
        <v>493</v>
      </c>
      <c r="X1005" t="s">
        <v>675</v>
      </c>
    </row>
    <row r="1006" spans="23:24" x14ac:dyDescent="0.2">
      <c r="W1006" t="s">
        <v>494</v>
      </c>
      <c r="X1006" t="s">
        <v>675</v>
      </c>
    </row>
    <row r="1007" spans="23:24" x14ac:dyDescent="0.2">
      <c r="W1007" t="s">
        <v>495</v>
      </c>
      <c r="X1007" t="s">
        <v>675</v>
      </c>
    </row>
    <row r="1008" spans="23:24" x14ac:dyDescent="0.2">
      <c r="W1008" t="s">
        <v>496</v>
      </c>
      <c r="X1008" t="s">
        <v>675</v>
      </c>
    </row>
    <row r="1009" spans="23:24" x14ac:dyDescent="0.2">
      <c r="W1009" t="s">
        <v>497</v>
      </c>
      <c r="X1009" t="s">
        <v>675</v>
      </c>
    </row>
    <row r="1010" spans="23:24" x14ac:dyDescent="0.2">
      <c r="W1010" t="s">
        <v>167</v>
      </c>
      <c r="X1010" t="s">
        <v>675</v>
      </c>
    </row>
    <row r="1011" spans="23:24" x14ac:dyDescent="0.2">
      <c r="W1011" t="s">
        <v>498</v>
      </c>
      <c r="X1011" t="s">
        <v>675</v>
      </c>
    </row>
    <row r="1012" spans="23:24" x14ac:dyDescent="0.2">
      <c r="W1012" t="s">
        <v>499</v>
      </c>
      <c r="X1012" t="s">
        <v>675</v>
      </c>
    </row>
    <row r="1013" spans="23:24" x14ac:dyDescent="0.2">
      <c r="W1013" t="s">
        <v>500</v>
      </c>
      <c r="X1013" t="s">
        <v>675</v>
      </c>
    </row>
    <row r="1014" spans="23:24" x14ac:dyDescent="0.2">
      <c r="W1014" t="s">
        <v>501</v>
      </c>
      <c r="X1014" t="s">
        <v>675</v>
      </c>
    </row>
    <row r="1015" spans="23:24" x14ac:dyDescent="0.2">
      <c r="W1015" t="s">
        <v>502</v>
      </c>
      <c r="X1015" t="s">
        <v>675</v>
      </c>
    </row>
    <row r="1016" spans="23:24" x14ac:dyDescent="0.2">
      <c r="W1016" t="s">
        <v>503</v>
      </c>
      <c r="X1016" t="s">
        <v>675</v>
      </c>
    </row>
    <row r="1017" spans="23:24" x14ac:dyDescent="0.2">
      <c r="W1017" t="s">
        <v>504</v>
      </c>
      <c r="X1017" t="s">
        <v>675</v>
      </c>
    </row>
    <row r="1018" spans="23:24" x14ac:dyDescent="0.2">
      <c r="W1018" t="s">
        <v>505</v>
      </c>
      <c r="X1018" t="s">
        <v>675</v>
      </c>
    </row>
    <row r="1019" spans="23:24" x14ac:dyDescent="0.2">
      <c r="W1019" t="s">
        <v>506</v>
      </c>
      <c r="X1019" t="s">
        <v>675</v>
      </c>
    </row>
    <row r="1020" spans="23:24" x14ac:dyDescent="0.2">
      <c r="W1020" t="s">
        <v>507</v>
      </c>
      <c r="X1020" t="s">
        <v>675</v>
      </c>
    </row>
    <row r="1021" spans="23:24" x14ac:dyDescent="0.2">
      <c r="W1021" t="s">
        <v>508</v>
      </c>
      <c r="X1021" t="s">
        <v>675</v>
      </c>
    </row>
    <row r="1022" spans="23:24" x14ac:dyDescent="0.2">
      <c r="W1022" t="s">
        <v>509</v>
      </c>
      <c r="X1022" t="s">
        <v>675</v>
      </c>
    </row>
    <row r="1023" spans="23:24" x14ac:dyDescent="0.2">
      <c r="W1023" t="s">
        <v>510</v>
      </c>
      <c r="X1023" t="s">
        <v>675</v>
      </c>
    </row>
    <row r="1024" spans="23:24" x14ac:dyDescent="0.2">
      <c r="W1024" t="s">
        <v>511</v>
      </c>
      <c r="X1024" t="s">
        <v>675</v>
      </c>
    </row>
    <row r="1025" spans="23:24" x14ac:dyDescent="0.2">
      <c r="W1025" t="s">
        <v>512</v>
      </c>
      <c r="X1025" t="s">
        <v>675</v>
      </c>
    </row>
    <row r="1026" spans="23:24" x14ac:dyDescent="0.2">
      <c r="W1026" t="s">
        <v>513</v>
      </c>
      <c r="X1026" t="s">
        <v>675</v>
      </c>
    </row>
    <row r="1027" spans="23:24" x14ac:dyDescent="0.2">
      <c r="W1027" t="s">
        <v>514</v>
      </c>
      <c r="X1027" t="s">
        <v>675</v>
      </c>
    </row>
    <row r="1028" spans="23:24" x14ac:dyDescent="0.2">
      <c r="W1028" t="s">
        <v>515</v>
      </c>
      <c r="X1028" t="s">
        <v>675</v>
      </c>
    </row>
    <row r="1029" spans="23:24" x14ac:dyDescent="0.2">
      <c r="W1029" t="s">
        <v>516</v>
      </c>
      <c r="X1029" t="s">
        <v>675</v>
      </c>
    </row>
    <row r="1030" spans="23:24" x14ac:dyDescent="0.2">
      <c r="W1030" t="s">
        <v>517</v>
      </c>
      <c r="X1030" t="s">
        <v>675</v>
      </c>
    </row>
    <row r="1031" spans="23:24" x14ac:dyDescent="0.2">
      <c r="W1031" t="s">
        <v>518</v>
      </c>
      <c r="X1031" t="s">
        <v>675</v>
      </c>
    </row>
    <row r="1032" spans="23:24" x14ac:dyDescent="0.2">
      <c r="W1032" t="s">
        <v>519</v>
      </c>
      <c r="X1032" t="s">
        <v>675</v>
      </c>
    </row>
    <row r="1033" spans="23:24" x14ac:dyDescent="0.2">
      <c r="W1033" t="s">
        <v>520</v>
      </c>
      <c r="X1033" t="s">
        <v>675</v>
      </c>
    </row>
    <row r="1034" spans="23:24" x14ac:dyDescent="0.2">
      <c r="W1034" t="s">
        <v>521</v>
      </c>
      <c r="X1034" t="s">
        <v>675</v>
      </c>
    </row>
    <row r="1035" spans="23:24" x14ac:dyDescent="0.2">
      <c r="W1035" t="s">
        <v>506</v>
      </c>
      <c r="X1035" t="s">
        <v>675</v>
      </c>
    </row>
    <row r="1036" spans="23:24" x14ac:dyDescent="0.2">
      <c r="W1036" t="s">
        <v>507</v>
      </c>
      <c r="X1036" t="s">
        <v>675</v>
      </c>
    </row>
    <row r="1037" spans="23:24" x14ac:dyDescent="0.2">
      <c r="W1037" t="s">
        <v>508</v>
      </c>
      <c r="X1037" t="s">
        <v>675</v>
      </c>
    </row>
    <row r="1038" spans="23:24" x14ac:dyDescent="0.2">
      <c r="W1038" t="s">
        <v>509</v>
      </c>
      <c r="X1038" t="s">
        <v>675</v>
      </c>
    </row>
    <row r="1039" spans="23:24" x14ac:dyDescent="0.2">
      <c r="W1039" t="s">
        <v>510</v>
      </c>
      <c r="X1039" t="s">
        <v>675</v>
      </c>
    </row>
    <row r="1040" spans="23:24" x14ac:dyDescent="0.2">
      <c r="W1040" t="s">
        <v>511</v>
      </c>
      <c r="X1040" t="s">
        <v>675</v>
      </c>
    </row>
    <row r="1041" spans="23:24" x14ac:dyDescent="0.2">
      <c r="W1041" t="s">
        <v>512</v>
      </c>
      <c r="X1041" t="s">
        <v>675</v>
      </c>
    </row>
    <row r="1042" spans="23:24" x14ac:dyDescent="0.2">
      <c r="W1042" t="s">
        <v>513</v>
      </c>
      <c r="X1042" t="s">
        <v>675</v>
      </c>
    </row>
    <row r="1043" spans="23:24" x14ac:dyDescent="0.2">
      <c r="W1043" t="s">
        <v>514</v>
      </c>
      <c r="X1043" t="s">
        <v>675</v>
      </c>
    </row>
    <row r="1044" spans="23:24" x14ac:dyDescent="0.2">
      <c r="W1044" t="s">
        <v>515</v>
      </c>
      <c r="X1044" t="s">
        <v>675</v>
      </c>
    </row>
    <row r="1045" spans="23:24" x14ac:dyDescent="0.2">
      <c r="W1045" t="s">
        <v>516</v>
      </c>
      <c r="X1045" t="s">
        <v>675</v>
      </c>
    </row>
    <row r="1046" spans="23:24" x14ac:dyDescent="0.2">
      <c r="W1046" t="s">
        <v>517</v>
      </c>
      <c r="X1046" t="s">
        <v>675</v>
      </c>
    </row>
    <row r="1047" spans="23:24" x14ac:dyDescent="0.2">
      <c r="W1047" t="s">
        <v>518</v>
      </c>
      <c r="X1047" t="s">
        <v>675</v>
      </c>
    </row>
    <row r="1048" spans="23:24" x14ac:dyDescent="0.2">
      <c r="W1048" t="s">
        <v>519</v>
      </c>
      <c r="X1048" t="s">
        <v>675</v>
      </c>
    </row>
    <row r="1049" spans="23:24" x14ac:dyDescent="0.2">
      <c r="W1049" t="s">
        <v>520</v>
      </c>
      <c r="X1049" t="s">
        <v>675</v>
      </c>
    </row>
    <row r="1050" spans="23:24" x14ac:dyDescent="0.2">
      <c r="W1050" t="s">
        <v>521</v>
      </c>
      <c r="X1050" t="s">
        <v>675</v>
      </c>
    </row>
    <row r="1051" spans="23:24" x14ac:dyDescent="0.2">
      <c r="W1051" t="s">
        <v>522</v>
      </c>
      <c r="X1051" t="s">
        <v>675</v>
      </c>
    </row>
    <row r="1052" spans="23:24" x14ac:dyDescent="0.2">
      <c r="W1052" t="s">
        <v>287</v>
      </c>
      <c r="X1052" t="s">
        <v>675</v>
      </c>
    </row>
    <row r="1053" spans="23:24" x14ac:dyDescent="0.2">
      <c r="W1053" t="s">
        <v>523</v>
      </c>
      <c r="X1053" t="s">
        <v>675</v>
      </c>
    </row>
    <row r="1054" spans="23:24" x14ac:dyDescent="0.2">
      <c r="W1054" t="s">
        <v>524</v>
      </c>
      <c r="X1054" t="s">
        <v>675</v>
      </c>
    </row>
    <row r="1055" spans="23:24" x14ac:dyDescent="0.2">
      <c r="W1055" t="s">
        <v>525</v>
      </c>
      <c r="X1055" t="s">
        <v>675</v>
      </c>
    </row>
    <row r="1056" spans="23:24" x14ac:dyDescent="0.2">
      <c r="W1056" t="s">
        <v>526</v>
      </c>
      <c r="X1056" t="s">
        <v>675</v>
      </c>
    </row>
    <row r="1057" spans="23:24" x14ac:dyDescent="0.2">
      <c r="W1057" t="s">
        <v>527</v>
      </c>
      <c r="X1057" t="s">
        <v>675</v>
      </c>
    </row>
    <row r="1058" spans="23:24" x14ac:dyDescent="0.2">
      <c r="W1058" t="s">
        <v>528</v>
      </c>
      <c r="X1058" t="s">
        <v>675</v>
      </c>
    </row>
    <row r="1059" spans="23:24" x14ac:dyDescent="0.2">
      <c r="W1059" t="s">
        <v>529</v>
      </c>
      <c r="X1059" t="s">
        <v>675</v>
      </c>
    </row>
    <row r="1060" spans="23:24" x14ac:dyDescent="0.2">
      <c r="W1060" t="s">
        <v>530</v>
      </c>
      <c r="X1060" t="s">
        <v>675</v>
      </c>
    </row>
    <row r="1061" spans="23:24" x14ac:dyDescent="0.2">
      <c r="W1061" t="s">
        <v>531</v>
      </c>
      <c r="X1061" t="s">
        <v>675</v>
      </c>
    </row>
    <row r="1062" spans="23:24" x14ac:dyDescent="0.2">
      <c r="W1062" t="s">
        <v>532</v>
      </c>
      <c r="X1062" t="s">
        <v>675</v>
      </c>
    </row>
    <row r="1063" spans="23:24" x14ac:dyDescent="0.2">
      <c r="W1063" t="s">
        <v>533</v>
      </c>
      <c r="X1063" t="s">
        <v>675</v>
      </c>
    </row>
    <row r="1064" spans="23:24" x14ac:dyDescent="0.2">
      <c r="W1064" t="s">
        <v>534</v>
      </c>
      <c r="X1064" t="s">
        <v>675</v>
      </c>
    </row>
    <row r="1065" spans="23:24" x14ac:dyDescent="0.2">
      <c r="W1065" t="s">
        <v>535</v>
      </c>
      <c r="X1065" t="s">
        <v>675</v>
      </c>
    </row>
    <row r="1066" spans="23:24" x14ac:dyDescent="0.2">
      <c r="W1066" t="s">
        <v>170</v>
      </c>
      <c r="X1066" t="s">
        <v>675</v>
      </c>
    </row>
    <row r="1067" spans="23:24" x14ac:dyDescent="0.2">
      <c r="W1067" t="s">
        <v>203</v>
      </c>
      <c r="X1067" t="s">
        <v>675</v>
      </c>
    </row>
    <row r="1068" spans="23:24" x14ac:dyDescent="0.2">
      <c r="W1068" t="s">
        <v>536</v>
      </c>
      <c r="X1068" t="s">
        <v>676</v>
      </c>
    </row>
    <row r="1069" spans="23:24" x14ac:dyDescent="0.2">
      <c r="W1069" t="s">
        <v>537</v>
      </c>
      <c r="X1069" t="s">
        <v>676</v>
      </c>
    </row>
    <row r="1070" spans="23:24" x14ac:dyDescent="0.2">
      <c r="W1070" t="s">
        <v>538</v>
      </c>
      <c r="X1070" t="s">
        <v>676</v>
      </c>
    </row>
    <row r="1071" spans="23:24" x14ac:dyDescent="0.2">
      <c r="W1071" t="s">
        <v>539</v>
      </c>
      <c r="X1071" t="s">
        <v>676</v>
      </c>
    </row>
    <row r="1072" spans="23:24" x14ac:dyDescent="0.2">
      <c r="W1072" t="s">
        <v>540</v>
      </c>
      <c r="X1072" t="s">
        <v>676</v>
      </c>
    </row>
    <row r="1073" spans="23:24" x14ac:dyDescent="0.2">
      <c r="W1073" t="s">
        <v>541</v>
      </c>
      <c r="X1073" t="s">
        <v>676</v>
      </c>
    </row>
    <row r="1074" spans="23:24" x14ac:dyDescent="0.2">
      <c r="W1074" t="s">
        <v>542</v>
      </c>
      <c r="X1074" t="s">
        <v>676</v>
      </c>
    </row>
    <row r="1075" spans="23:24" x14ac:dyDescent="0.2">
      <c r="W1075" t="s">
        <v>543</v>
      </c>
      <c r="X1075" t="s">
        <v>676</v>
      </c>
    </row>
    <row r="1076" spans="23:24" x14ac:dyDescent="0.2">
      <c r="W1076" t="s">
        <v>544</v>
      </c>
      <c r="X1076" t="s">
        <v>676</v>
      </c>
    </row>
    <row r="1077" spans="23:24" x14ac:dyDescent="0.2">
      <c r="W1077" t="s">
        <v>545</v>
      </c>
      <c r="X1077" t="s">
        <v>676</v>
      </c>
    </row>
    <row r="1078" spans="23:24" x14ac:dyDescent="0.2">
      <c r="W1078" t="s">
        <v>546</v>
      </c>
      <c r="X1078" t="s">
        <v>676</v>
      </c>
    </row>
    <row r="1079" spans="23:24" x14ac:dyDescent="0.2">
      <c r="W1079" t="s">
        <v>547</v>
      </c>
      <c r="X1079" t="s">
        <v>676</v>
      </c>
    </row>
    <row r="1080" spans="23:24" x14ac:dyDescent="0.2">
      <c r="W1080" t="s">
        <v>548</v>
      </c>
      <c r="X1080" t="s">
        <v>676</v>
      </c>
    </row>
    <row r="1081" spans="23:24" x14ac:dyDescent="0.2">
      <c r="W1081" t="s">
        <v>549</v>
      </c>
      <c r="X1081" t="s">
        <v>676</v>
      </c>
    </row>
    <row r="1082" spans="23:24" x14ac:dyDescent="0.2">
      <c r="W1082" t="s">
        <v>550</v>
      </c>
      <c r="X1082" t="s">
        <v>676</v>
      </c>
    </row>
    <row r="1083" spans="23:24" x14ac:dyDescent="0.2">
      <c r="W1083" t="s">
        <v>551</v>
      </c>
      <c r="X1083" t="s">
        <v>676</v>
      </c>
    </row>
    <row r="1084" spans="23:24" x14ac:dyDescent="0.2">
      <c r="W1084" t="s">
        <v>552</v>
      </c>
      <c r="X1084" t="s">
        <v>676</v>
      </c>
    </row>
    <row r="1085" spans="23:24" x14ac:dyDescent="0.2">
      <c r="W1085" t="s">
        <v>553</v>
      </c>
      <c r="X1085" t="s">
        <v>676</v>
      </c>
    </row>
    <row r="1086" spans="23:24" x14ac:dyDescent="0.2">
      <c r="W1086" t="s">
        <v>554</v>
      </c>
      <c r="X1086" t="s">
        <v>676</v>
      </c>
    </row>
    <row r="1087" spans="23:24" x14ac:dyDescent="0.2">
      <c r="W1087" t="s">
        <v>555</v>
      </c>
      <c r="X1087" t="s">
        <v>676</v>
      </c>
    </row>
    <row r="1088" spans="23:24" x14ac:dyDescent="0.2">
      <c r="W1088" t="s">
        <v>556</v>
      </c>
      <c r="X1088" t="s">
        <v>676</v>
      </c>
    </row>
    <row r="1089" spans="23:24" x14ac:dyDescent="0.2">
      <c r="W1089" t="s">
        <v>557</v>
      </c>
      <c r="X1089" t="s">
        <v>676</v>
      </c>
    </row>
    <row r="1090" spans="23:24" x14ac:dyDescent="0.2">
      <c r="W1090" t="s">
        <v>558</v>
      </c>
      <c r="X1090" t="s">
        <v>676</v>
      </c>
    </row>
    <row r="1091" spans="23:24" x14ac:dyDescent="0.2">
      <c r="W1091" t="s">
        <v>559</v>
      </c>
      <c r="X1091" t="s">
        <v>676</v>
      </c>
    </row>
    <row r="1092" spans="23:24" x14ac:dyDescent="0.2">
      <c r="W1092" t="s">
        <v>560</v>
      </c>
      <c r="X1092" t="s">
        <v>676</v>
      </c>
    </row>
    <row r="1093" spans="23:24" x14ac:dyDescent="0.2">
      <c r="W1093" t="s">
        <v>561</v>
      </c>
      <c r="X1093" t="s">
        <v>676</v>
      </c>
    </row>
    <row r="1094" spans="23:24" x14ac:dyDescent="0.2">
      <c r="W1094" t="s">
        <v>562</v>
      </c>
      <c r="X1094" t="s">
        <v>676</v>
      </c>
    </row>
    <row r="1095" spans="23:24" x14ac:dyDescent="0.2">
      <c r="W1095" t="s">
        <v>563</v>
      </c>
      <c r="X1095" t="s">
        <v>676</v>
      </c>
    </row>
    <row r="1096" spans="23:24" x14ac:dyDescent="0.2">
      <c r="W1096" t="s">
        <v>564</v>
      </c>
      <c r="X1096" t="s">
        <v>676</v>
      </c>
    </row>
    <row r="1097" spans="23:24" x14ac:dyDescent="0.2">
      <c r="W1097" t="s">
        <v>565</v>
      </c>
      <c r="X1097" t="s">
        <v>676</v>
      </c>
    </row>
    <row r="1098" spans="23:24" x14ac:dyDescent="0.2">
      <c r="W1098" t="s">
        <v>566</v>
      </c>
      <c r="X1098" t="s">
        <v>676</v>
      </c>
    </row>
    <row r="1099" spans="23:24" x14ac:dyDescent="0.2">
      <c r="W1099" t="s">
        <v>567</v>
      </c>
      <c r="X1099" t="s">
        <v>676</v>
      </c>
    </row>
    <row r="1100" spans="23:24" x14ac:dyDescent="0.2">
      <c r="W1100" t="s">
        <v>568</v>
      </c>
      <c r="X1100" t="s">
        <v>676</v>
      </c>
    </row>
    <row r="1101" spans="23:24" x14ac:dyDescent="0.2">
      <c r="W1101" t="s">
        <v>569</v>
      </c>
      <c r="X1101" t="s">
        <v>676</v>
      </c>
    </row>
    <row r="1102" spans="23:24" x14ac:dyDescent="0.2">
      <c r="W1102" t="s">
        <v>570</v>
      </c>
      <c r="X1102" t="s">
        <v>676</v>
      </c>
    </row>
    <row r="1103" spans="23:24" x14ac:dyDescent="0.2">
      <c r="W1103" t="s">
        <v>571</v>
      </c>
      <c r="X1103" t="s">
        <v>676</v>
      </c>
    </row>
    <row r="1104" spans="23:24" x14ac:dyDescent="0.2">
      <c r="W1104" t="s">
        <v>572</v>
      </c>
      <c r="X1104" t="s">
        <v>676</v>
      </c>
    </row>
    <row r="1105" spans="23:24" x14ac:dyDescent="0.2">
      <c r="W1105" t="s">
        <v>573</v>
      </c>
      <c r="X1105" t="s">
        <v>676</v>
      </c>
    </row>
    <row r="1106" spans="23:24" x14ac:dyDescent="0.2">
      <c r="W1106" t="s">
        <v>561</v>
      </c>
      <c r="X1106" t="s">
        <v>676</v>
      </c>
    </row>
    <row r="1107" spans="23:24" x14ac:dyDescent="0.2">
      <c r="W1107" t="s">
        <v>562</v>
      </c>
      <c r="X1107" t="s">
        <v>676</v>
      </c>
    </row>
    <row r="1108" spans="23:24" x14ac:dyDescent="0.2">
      <c r="W1108" t="s">
        <v>563</v>
      </c>
      <c r="X1108" t="s">
        <v>676</v>
      </c>
    </row>
    <row r="1109" spans="23:24" x14ac:dyDescent="0.2">
      <c r="W1109" t="s">
        <v>564</v>
      </c>
      <c r="X1109" t="s">
        <v>676</v>
      </c>
    </row>
    <row r="1110" spans="23:24" x14ac:dyDescent="0.2">
      <c r="W1110" t="s">
        <v>565</v>
      </c>
      <c r="X1110" t="s">
        <v>676</v>
      </c>
    </row>
    <row r="1111" spans="23:24" x14ac:dyDescent="0.2">
      <c r="W1111" t="s">
        <v>566</v>
      </c>
      <c r="X1111" t="s">
        <v>676</v>
      </c>
    </row>
    <row r="1112" spans="23:24" x14ac:dyDescent="0.2">
      <c r="W1112" t="s">
        <v>567</v>
      </c>
      <c r="X1112" t="s">
        <v>676</v>
      </c>
    </row>
    <row r="1113" spans="23:24" x14ac:dyDescent="0.2">
      <c r="W1113" t="s">
        <v>568</v>
      </c>
      <c r="X1113" t="s">
        <v>676</v>
      </c>
    </row>
    <row r="1114" spans="23:24" x14ac:dyDescent="0.2">
      <c r="W1114" t="s">
        <v>569</v>
      </c>
      <c r="X1114" t="s">
        <v>676</v>
      </c>
    </row>
    <row r="1115" spans="23:24" x14ac:dyDescent="0.2">
      <c r="W1115" t="s">
        <v>570</v>
      </c>
      <c r="X1115" t="s">
        <v>676</v>
      </c>
    </row>
    <row r="1116" spans="23:24" x14ac:dyDescent="0.2">
      <c r="W1116" t="s">
        <v>571</v>
      </c>
      <c r="X1116" t="s">
        <v>676</v>
      </c>
    </row>
    <row r="1117" spans="23:24" x14ac:dyDescent="0.2">
      <c r="W1117" t="s">
        <v>572</v>
      </c>
      <c r="X1117" t="s">
        <v>676</v>
      </c>
    </row>
    <row r="1118" spans="23:24" x14ac:dyDescent="0.2">
      <c r="W1118" t="s">
        <v>573</v>
      </c>
      <c r="X1118" t="s">
        <v>676</v>
      </c>
    </row>
    <row r="1119" spans="23:24" x14ac:dyDescent="0.2">
      <c r="W1119" t="s">
        <v>574</v>
      </c>
      <c r="X1119" t="s">
        <v>676</v>
      </c>
    </row>
    <row r="1120" spans="23:24" x14ac:dyDescent="0.2">
      <c r="W1120" t="s">
        <v>575</v>
      </c>
      <c r="X1120" t="s">
        <v>676</v>
      </c>
    </row>
    <row r="1121" spans="23:24" x14ac:dyDescent="0.2">
      <c r="W1121" t="s">
        <v>576</v>
      </c>
      <c r="X1121" t="s">
        <v>676</v>
      </c>
    </row>
    <row r="1122" spans="23:24" x14ac:dyDescent="0.2">
      <c r="W1122" t="s">
        <v>577</v>
      </c>
      <c r="X1122" t="s">
        <v>676</v>
      </c>
    </row>
    <row r="1123" spans="23:24" x14ac:dyDescent="0.2">
      <c r="W1123" t="s">
        <v>578</v>
      </c>
      <c r="X1123" t="s">
        <v>676</v>
      </c>
    </row>
    <row r="1124" spans="23:24" x14ac:dyDescent="0.2">
      <c r="W1124" t="s">
        <v>579</v>
      </c>
      <c r="X1124" t="s">
        <v>676</v>
      </c>
    </row>
    <row r="1125" spans="23:24" x14ac:dyDescent="0.2">
      <c r="W1125" t="s">
        <v>580</v>
      </c>
      <c r="X1125" t="s">
        <v>676</v>
      </c>
    </row>
    <row r="1126" spans="23:24" x14ac:dyDescent="0.2">
      <c r="W1126" t="s">
        <v>581</v>
      </c>
      <c r="X1126" t="s">
        <v>676</v>
      </c>
    </row>
    <row r="1127" spans="23:24" x14ac:dyDescent="0.2">
      <c r="W1127" t="s">
        <v>582</v>
      </c>
      <c r="X1127" t="s">
        <v>676</v>
      </c>
    </row>
    <row r="1128" spans="23:24" x14ac:dyDescent="0.2">
      <c r="W1128" t="s">
        <v>583</v>
      </c>
      <c r="X1128" t="s">
        <v>676</v>
      </c>
    </row>
    <row r="1129" spans="23:24" x14ac:dyDescent="0.2">
      <c r="W1129" t="s">
        <v>584</v>
      </c>
      <c r="X1129" t="s">
        <v>676</v>
      </c>
    </row>
    <row r="1130" spans="23:24" x14ac:dyDescent="0.2">
      <c r="W1130" t="s">
        <v>585</v>
      </c>
      <c r="X1130" t="s">
        <v>676</v>
      </c>
    </row>
    <row r="1131" spans="23:24" x14ac:dyDescent="0.2">
      <c r="W1131" t="s">
        <v>586</v>
      </c>
      <c r="X1131" t="s">
        <v>676</v>
      </c>
    </row>
    <row r="1132" spans="23:24" x14ac:dyDescent="0.2">
      <c r="W1132" t="s">
        <v>587</v>
      </c>
      <c r="X1132" t="s">
        <v>676</v>
      </c>
    </row>
    <row r="1133" spans="23:24" x14ac:dyDescent="0.2">
      <c r="W1133" t="s">
        <v>247</v>
      </c>
      <c r="X1133" t="s">
        <v>676</v>
      </c>
    </row>
    <row r="1134" spans="23:24" x14ac:dyDescent="0.2">
      <c r="W1134" t="s">
        <v>588</v>
      </c>
      <c r="X1134" t="s">
        <v>676</v>
      </c>
    </row>
    <row r="1135" spans="23:24" x14ac:dyDescent="0.2">
      <c r="W1135" t="s">
        <v>574</v>
      </c>
      <c r="X1135" t="s">
        <v>676</v>
      </c>
    </row>
    <row r="1136" spans="23:24" x14ac:dyDescent="0.2">
      <c r="W1136" t="s">
        <v>575</v>
      </c>
      <c r="X1136" t="s">
        <v>676</v>
      </c>
    </row>
    <row r="1137" spans="23:24" x14ac:dyDescent="0.2">
      <c r="W1137" t="s">
        <v>576</v>
      </c>
      <c r="X1137" t="s">
        <v>676</v>
      </c>
    </row>
    <row r="1138" spans="23:24" x14ac:dyDescent="0.2">
      <c r="W1138" t="s">
        <v>577</v>
      </c>
      <c r="X1138" t="s">
        <v>676</v>
      </c>
    </row>
    <row r="1139" spans="23:24" x14ac:dyDescent="0.2">
      <c r="W1139" t="s">
        <v>578</v>
      </c>
      <c r="X1139" t="s">
        <v>676</v>
      </c>
    </row>
    <row r="1140" spans="23:24" x14ac:dyDescent="0.2">
      <c r="W1140" t="s">
        <v>579</v>
      </c>
      <c r="X1140" t="s">
        <v>676</v>
      </c>
    </row>
    <row r="1141" spans="23:24" x14ac:dyDescent="0.2">
      <c r="W1141" t="s">
        <v>580</v>
      </c>
      <c r="X1141" t="s">
        <v>676</v>
      </c>
    </row>
    <row r="1142" spans="23:24" x14ac:dyDescent="0.2">
      <c r="W1142" t="s">
        <v>581</v>
      </c>
      <c r="X1142" t="s">
        <v>676</v>
      </c>
    </row>
    <row r="1143" spans="23:24" x14ac:dyDescent="0.2">
      <c r="W1143" t="s">
        <v>582</v>
      </c>
      <c r="X1143" t="s">
        <v>676</v>
      </c>
    </row>
    <row r="1144" spans="23:24" x14ac:dyDescent="0.2">
      <c r="W1144" t="s">
        <v>583</v>
      </c>
      <c r="X1144" t="s">
        <v>676</v>
      </c>
    </row>
    <row r="1145" spans="23:24" x14ac:dyDescent="0.2">
      <c r="W1145" t="s">
        <v>584</v>
      </c>
      <c r="X1145" t="s">
        <v>676</v>
      </c>
    </row>
    <row r="1146" spans="23:24" x14ac:dyDescent="0.2">
      <c r="W1146" t="s">
        <v>585</v>
      </c>
      <c r="X1146" t="s">
        <v>676</v>
      </c>
    </row>
    <row r="1147" spans="23:24" x14ac:dyDescent="0.2">
      <c r="W1147" t="s">
        <v>586</v>
      </c>
      <c r="X1147" t="s">
        <v>676</v>
      </c>
    </row>
    <row r="1148" spans="23:24" x14ac:dyDescent="0.2">
      <c r="W1148" t="s">
        <v>587</v>
      </c>
      <c r="X1148" t="s">
        <v>676</v>
      </c>
    </row>
    <row r="1149" spans="23:24" x14ac:dyDescent="0.2">
      <c r="W1149" t="s">
        <v>247</v>
      </c>
      <c r="X1149" t="s">
        <v>676</v>
      </c>
    </row>
    <row r="1150" spans="23:24" x14ac:dyDescent="0.2">
      <c r="W1150" t="s">
        <v>588</v>
      </c>
      <c r="X1150" t="s">
        <v>676</v>
      </c>
    </row>
    <row r="1151" spans="23:24" x14ac:dyDescent="0.2">
      <c r="W1151" t="s">
        <v>589</v>
      </c>
      <c r="X1151" t="s">
        <v>676</v>
      </c>
    </row>
    <row r="1152" spans="23:24" x14ac:dyDescent="0.2">
      <c r="W1152" t="s">
        <v>590</v>
      </c>
      <c r="X1152" t="s">
        <v>676</v>
      </c>
    </row>
    <row r="1153" spans="23:24" x14ac:dyDescent="0.2">
      <c r="W1153" t="s">
        <v>591</v>
      </c>
      <c r="X1153" t="s">
        <v>676</v>
      </c>
    </row>
    <row r="1154" spans="23:24" x14ac:dyDescent="0.2">
      <c r="W1154" t="s">
        <v>592</v>
      </c>
      <c r="X1154" t="s">
        <v>676</v>
      </c>
    </row>
    <row r="1155" spans="23:24" x14ac:dyDescent="0.2">
      <c r="W1155" t="s">
        <v>593</v>
      </c>
      <c r="X1155" t="s">
        <v>676</v>
      </c>
    </row>
    <row r="1156" spans="23:24" x14ac:dyDescent="0.2">
      <c r="W1156" t="s">
        <v>594</v>
      </c>
      <c r="X1156" t="s">
        <v>676</v>
      </c>
    </row>
    <row r="1157" spans="23:24" x14ac:dyDescent="0.2">
      <c r="W1157" t="s">
        <v>595</v>
      </c>
      <c r="X1157" t="s">
        <v>676</v>
      </c>
    </row>
    <row r="1158" spans="23:24" x14ac:dyDescent="0.2">
      <c r="W1158" t="s">
        <v>596</v>
      </c>
      <c r="X1158" t="s">
        <v>676</v>
      </c>
    </row>
    <row r="1159" spans="23:24" x14ac:dyDescent="0.2">
      <c r="W1159" t="s">
        <v>597</v>
      </c>
      <c r="X1159" t="s">
        <v>676</v>
      </c>
    </row>
    <row r="1160" spans="23:24" x14ac:dyDescent="0.2">
      <c r="W1160" t="s">
        <v>598</v>
      </c>
      <c r="X1160" t="s">
        <v>676</v>
      </c>
    </row>
    <row r="1161" spans="23:24" x14ac:dyDescent="0.2">
      <c r="W1161" t="s">
        <v>599</v>
      </c>
      <c r="X1161" t="s">
        <v>676</v>
      </c>
    </row>
    <row r="1162" spans="23:24" x14ac:dyDescent="0.2">
      <c r="W1162" t="s">
        <v>600</v>
      </c>
      <c r="X1162" t="s">
        <v>676</v>
      </c>
    </row>
    <row r="1163" spans="23:24" x14ac:dyDescent="0.2">
      <c r="W1163" t="s">
        <v>601</v>
      </c>
      <c r="X1163" t="s">
        <v>676</v>
      </c>
    </row>
    <row r="1164" spans="23:24" x14ac:dyDescent="0.2">
      <c r="W1164" t="s">
        <v>602</v>
      </c>
      <c r="X1164" t="s">
        <v>676</v>
      </c>
    </row>
    <row r="1165" spans="23:24" x14ac:dyDescent="0.2">
      <c r="W1165" t="s">
        <v>603</v>
      </c>
      <c r="X1165" t="s">
        <v>676</v>
      </c>
    </row>
    <row r="1166" spans="23:24" x14ac:dyDescent="0.2">
      <c r="W1166" t="s">
        <v>604</v>
      </c>
      <c r="X1166" t="s">
        <v>676</v>
      </c>
    </row>
    <row r="1167" spans="23:24" x14ac:dyDescent="0.2">
      <c r="W1167" t="s">
        <v>605</v>
      </c>
      <c r="X1167" t="s">
        <v>676</v>
      </c>
    </row>
    <row r="1168" spans="23:24" x14ac:dyDescent="0.2">
      <c r="W1168" t="s">
        <v>606</v>
      </c>
      <c r="X1168" t="s">
        <v>676</v>
      </c>
    </row>
    <row r="1169" spans="23:24" x14ac:dyDescent="0.2">
      <c r="W1169" t="s">
        <v>607</v>
      </c>
      <c r="X1169" t="s">
        <v>676</v>
      </c>
    </row>
    <row r="1170" spans="23:24" x14ac:dyDescent="0.2">
      <c r="W1170" t="s">
        <v>608</v>
      </c>
      <c r="X1170" t="s">
        <v>676</v>
      </c>
    </row>
    <row r="1171" spans="23:24" x14ac:dyDescent="0.2">
      <c r="W1171" t="s">
        <v>609</v>
      </c>
      <c r="X1171" t="s">
        <v>676</v>
      </c>
    </row>
    <row r="1172" spans="23:24" x14ac:dyDescent="0.2">
      <c r="W1172" t="s">
        <v>610</v>
      </c>
      <c r="X1172" t="s">
        <v>676</v>
      </c>
    </row>
    <row r="1173" spans="23:24" x14ac:dyDescent="0.2">
      <c r="W1173" t="s">
        <v>611</v>
      </c>
      <c r="X1173" t="s">
        <v>676</v>
      </c>
    </row>
    <row r="1174" spans="23:24" x14ac:dyDescent="0.2">
      <c r="W1174" t="s">
        <v>612</v>
      </c>
      <c r="X1174" t="s">
        <v>676</v>
      </c>
    </row>
    <row r="1175" spans="23:24" x14ac:dyDescent="0.2">
      <c r="W1175" t="s">
        <v>613</v>
      </c>
      <c r="X1175" t="s">
        <v>676</v>
      </c>
    </row>
    <row r="1176" spans="23:24" x14ac:dyDescent="0.2">
      <c r="W1176" t="s">
        <v>614</v>
      </c>
      <c r="X1176" t="s">
        <v>676</v>
      </c>
    </row>
    <row r="1177" spans="23:24" x14ac:dyDescent="0.2">
      <c r="W1177" t="s">
        <v>615</v>
      </c>
      <c r="X1177" t="s">
        <v>676</v>
      </c>
    </row>
    <row r="1178" spans="23:24" x14ac:dyDescent="0.2">
      <c r="W1178" t="s">
        <v>616</v>
      </c>
      <c r="X1178" t="s">
        <v>676</v>
      </c>
    </row>
    <row r="1179" spans="23:24" x14ac:dyDescent="0.2">
      <c r="W1179" t="s">
        <v>617</v>
      </c>
      <c r="X1179" t="s">
        <v>676</v>
      </c>
    </row>
    <row r="1180" spans="23:24" x14ac:dyDescent="0.2">
      <c r="W1180" t="s">
        <v>618</v>
      </c>
      <c r="X1180" t="s">
        <v>676</v>
      </c>
    </row>
    <row r="1181" spans="23:24" x14ac:dyDescent="0.2">
      <c r="W1181" t="s">
        <v>619</v>
      </c>
      <c r="X1181" t="s">
        <v>676</v>
      </c>
    </row>
    <row r="1182" spans="23:24" x14ac:dyDescent="0.2">
      <c r="W1182" t="s">
        <v>620</v>
      </c>
      <c r="X1182" t="s">
        <v>676</v>
      </c>
    </row>
    <row r="1183" spans="23:24" x14ac:dyDescent="0.2">
      <c r="W1183" t="s">
        <v>621</v>
      </c>
      <c r="X1183" t="s">
        <v>676</v>
      </c>
    </row>
    <row r="1184" spans="23:24" x14ac:dyDescent="0.2">
      <c r="W1184" t="s">
        <v>622</v>
      </c>
      <c r="X1184" t="s">
        <v>676</v>
      </c>
    </row>
    <row r="1185" spans="23:24" x14ac:dyDescent="0.2">
      <c r="W1185" t="s">
        <v>623</v>
      </c>
      <c r="X1185" t="s">
        <v>676</v>
      </c>
    </row>
    <row r="1186" spans="23:24" x14ac:dyDescent="0.2">
      <c r="W1186" t="s">
        <v>624</v>
      </c>
      <c r="X1186" t="s">
        <v>676</v>
      </c>
    </row>
    <row r="1187" spans="23:24" x14ac:dyDescent="0.2">
      <c r="W1187" t="s">
        <v>625</v>
      </c>
      <c r="X1187" t="s">
        <v>676</v>
      </c>
    </row>
    <row r="1188" spans="23:24" x14ac:dyDescent="0.2">
      <c r="W1188" t="s">
        <v>585</v>
      </c>
      <c r="X1188" t="s">
        <v>676</v>
      </c>
    </row>
    <row r="1189" spans="23:24" x14ac:dyDescent="0.2">
      <c r="W1189" t="s">
        <v>586</v>
      </c>
      <c r="X1189" t="s">
        <v>676</v>
      </c>
    </row>
    <row r="1190" spans="23:24" x14ac:dyDescent="0.2">
      <c r="W1190" t="s">
        <v>587</v>
      </c>
      <c r="X1190" t="s">
        <v>676</v>
      </c>
    </row>
    <row r="1191" spans="23:24" x14ac:dyDescent="0.2">
      <c r="W1191" t="s">
        <v>247</v>
      </c>
      <c r="X1191" t="s">
        <v>676</v>
      </c>
    </row>
    <row r="1192" spans="23:24" x14ac:dyDescent="0.2">
      <c r="W1192" t="s">
        <v>588</v>
      </c>
      <c r="X1192" t="s">
        <v>676</v>
      </c>
    </row>
    <row r="1193" spans="23:24" x14ac:dyDescent="0.2">
      <c r="W1193" t="s">
        <v>589</v>
      </c>
      <c r="X1193" t="s">
        <v>676</v>
      </c>
    </row>
    <row r="1194" spans="23:24" x14ac:dyDescent="0.2">
      <c r="W1194" t="s">
        <v>590</v>
      </c>
      <c r="X1194" t="s">
        <v>676</v>
      </c>
    </row>
    <row r="1195" spans="23:24" x14ac:dyDescent="0.2">
      <c r="W1195" t="s">
        <v>591</v>
      </c>
      <c r="X1195" t="s">
        <v>676</v>
      </c>
    </row>
    <row r="1196" spans="23:24" x14ac:dyDescent="0.2">
      <c r="W1196" t="s">
        <v>592</v>
      </c>
      <c r="X1196" t="s">
        <v>676</v>
      </c>
    </row>
    <row r="1197" spans="23:24" x14ac:dyDescent="0.2">
      <c r="W1197" t="s">
        <v>593</v>
      </c>
      <c r="X1197" t="s">
        <v>676</v>
      </c>
    </row>
    <row r="1198" spans="23:24" x14ac:dyDescent="0.2">
      <c r="W1198" t="s">
        <v>594</v>
      </c>
      <c r="X1198" t="s">
        <v>676</v>
      </c>
    </row>
    <row r="1199" spans="23:24" x14ac:dyDescent="0.2">
      <c r="W1199" t="s">
        <v>595</v>
      </c>
      <c r="X1199" t="s">
        <v>676</v>
      </c>
    </row>
    <row r="1200" spans="23:24" x14ac:dyDescent="0.2">
      <c r="W1200" t="s">
        <v>596</v>
      </c>
      <c r="X1200" t="s">
        <v>676</v>
      </c>
    </row>
    <row r="1201" spans="23:24" x14ac:dyDescent="0.2">
      <c r="W1201" t="s">
        <v>597</v>
      </c>
      <c r="X1201" t="s">
        <v>676</v>
      </c>
    </row>
    <row r="1202" spans="23:24" x14ac:dyDescent="0.2">
      <c r="W1202" t="s">
        <v>598</v>
      </c>
      <c r="X1202" t="s">
        <v>676</v>
      </c>
    </row>
    <row r="1203" spans="23:24" x14ac:dyDescent="0.2">
      <c r="W1203" t="s">
        <v>599</v>
      </c>
      <c r="X1203" t="s">
        <v>676</v>
      </c>
    </row>
    <row r="1204" spans="23:24" x14ac:dyDescent="0.2">
      <c r="W1204" t="s">
        <v>600</v>
      </c>
      <c r="X1204" t="s">
        <v>676</v>
      </c>
    </row>
    <row r="1205" spans="23:24" x14ac:dyDescent="0.2">
      <c r="W1205" t="s">
        <v>601</v>
      </c>
      <c r="X1205" t="s">
        <v>676</v>
      </c>
    </row>
    <row r="1206" spans="23:24" x14ac:dyDescent="0.2">
      <c r="W1206" t="s">
        <v>602</v>
      </c>
      <c r="X1206" t="s">
        <v>676</v>
      </c>
    </row>
    <row r="1207" spans="23:24" x14ac:dyDescent="0.2">
      <c r="W1207" t="s">
        <v>603</v>
      </c>
      <c r="X1207" t="s">
        <v>676</v>
      </c>
    </row>
    <row r="1208" spans="23:24" x14ac:dyDescent="0.2">
      <c r="W1208" t="s">
        <v>604</v>
      </c>
      <c r="X1208" t="s">
        <v>676</v>
      </c>
    </row>
    <row r="1209" spans="23:24" x14ac:dyDescent="0.2">
      <c r="W1209" t="s">
        <v>605</v>
      </c>
      <c r="X1209" t="s">
        <v>676</v>
      </c>
    </row>
    <row r="1210" spans="23:24" x14ac:dyDescent="0.2">
      <c r="W1210" t="s">
        <v>606</v>
      </c>
      <c r="X1210" t="s">
        <v>676</v>
      </c>
    </row>
    <row r="1211" spans="23:24" x14ac:dyDescent="0.2">
      <c r="W1211" t="s">
        <v>607</v>
      </c>
      <c r="X1211" t="s">
        <v>676</v>
      </c>
    </row>
    <row r="1212" spans="23:24" x14ac:dyDescent="0.2">
      <c r="W1212" t="s">
        <v>608</v>
      </c>
      <c r="X1212" t="s">
        <v>676</v>
      </c>
    </row>
    <row r="1213" spans="23:24" x14ac:dyDescent="0.2">
      <c r="W1213" t="s">
        <v>609</v>
      </c>
      <c r="X1213" t="s">
        <v>676</v>
      </c>
    </row>
    <row r="1214" spans="23:24" x14ac:dyDescent="0.2">
      <c r="W1214" t="s">
        <v>610</v>
      </c>
      <c r="X1214" t="s">
        <v>676</v>
      </c>
    </row>
    <row r="1215" spans="23:24" x14ac:dyDescent="0.2">
      <c r="W1215" t="s">
        <v>611</v>
      </c>
      <c r="X1215" t="s">
        <v>676</v>
      </c>
    </row>
    <row r="1216" spans="23:24" x14ac:dyDescent="0.2">
      <c r="W1216" t="s">
        <v>612</v>
      </c>
      <c r="X1216" t="s">
        <v>676</v>
      </c>
    </row>
    <row r="1217" spans="23:24" x14ac:dyDescent="0.2">
      <c r="W1217" t="s">
        <v>613</v>
      </c>
      <c r="X1217" t="s">
        <v>676</v>
      </c>
    </row>
    <row r="1218" spans="23:24" x14ac:dyDescent="0.2">
      <c r="W1218" t="s">
        <v>614</v>
      </c>
      <c r="X1218" t="s">
        <v>676</v>
      </c>
    </row>
    <row r="1219" spans="23:24" x14ac:dyDescent="0.2">
      <c r="W1219" t="s">
        <v>615</v>
      </c>
      <c r="X1219" t="s">
        <v>676</v>
      </c>
    </row>
    <row r="1220" spans="23:24" x14ac:dyDescent="0.2">
      <c r="W1220" t="s">
        <v>616</v>
      </c>
      <c r="X1220" t="s">
        <v>676</v>
      </c>
    </row>
    <row r="1221" spans="23:24" x14ac:dyDescent="0.2">
      <c r="W1221" t="s">
        <v>617</v>
      </c>
      <c r="X1221" t="s">
        <v>676</v>
      </c>
    </row>
    <row r="1222" spans="23:24" x14ac:dyDescent="0.2">
      <c r="W1222" t="s">
        <v>618</v>
      </c>
      <c r="X1222" t="s">
        <v>676</v>
      </c>
    </row>
    <row r="1223" spans="23:24" x14ac:dyDescent="0.2">
      <c r="W1223" t="s">
        <v>619</v>
      </c>
      <c r="X1223" t="s">
        <v>676</v>
      </c>
    </row>
    <row r="1224" spans="23:24" x14ac:dyDescent="0.2">
      <c r="W1224" t="s">
        <v>620</v>
      </c>
      <c r="X1224" t="s">
        <v>676</v>
      </c>
    </row>
    <row r="1225" spans="23:24" x14ac:dyDescent="0.2">
      <c r="W1225" t="s">
        <v>621</v>
      </c>
      <c r="X1225" t="s">
        <v>676</v>
      </c>
    </row>
    <row r="1226" spans="23:24" x14ac:dyDescent="0.2">
      <c r="W1226" t="s">
        <v>622</v>
      </c>
      <c r="X1226" t="s">
        <v>676</v>
      </c>
    </row>
    <row r="1227" spans="23:24" x14ac:dyDescent="0.2">
      <c r="W1227" t="s">
        <v>623</v>
      </c>
      <c r="X1227" t="s">
        <v>676</v>
      </c>
    </row>
    <row r="1228" spans="23:24" x14ac:dyDescent="0.2">
      <c r="W1228" t="s">
        <v>624</v>
      </c>
      <c r="X1228" t="s">
        <v>676</v>
      </c>
    </row>
    <row r="1229" spans="23:24" x14ac:dyDescent="0.2">
      <c r="W1229" t="s">
        <v>625</v>
      </c>
      <c r="X1229" t="s">
        <v>676</v>
      </c>
    </row>
    <row r="1230" spans="23:24" x14ac:dyDescent="0.2">
      <c r="W1230" t="s">
        <v>626</v>
      </c>
      <c r="X1230" t="s">
        <v>676</v>
      </c>
    </row>
    <row r="1231" spans="23:24" x14ac:dyDescent="0.2">
      <c r="W1231" t="s">
        <v>627</v>
      </c>
      <c r="X1231" t="s">
        <v>676</v>
      </c>
    </row>
    <row r="1232" spans="23:24" x14ac:dyDescent="0.2">
      <c r="W1232" t="s">
        <v>628</v>
      </c>
      <c r="X1232" t="s">
        <v>676</v>
      </c>
    </row>
    <row r="1233" spans="23:24" x14ac:dyDescent="0.2">
      <c r="W1233" t="s">
        <v>629</v>
      </c>
      <c r="X1233" t="s">
        <v>676</v>
      </c>
    </row>
    <row r="1234" spans="23:24" x14ac:dyDescent="0.2">
      <c r="W1234" t="s">
        <v>630</v>
      </c>
      <c r="X1234" t="s">
        <v>676</v>
      </c>
    </row>
    <row r="1235" spans="23:24" x14ac:dyDescent="0.2">
      <c r="W1235" t="s">
        <v>631</v>
      </c>
      <c r="X1235" t="s">
        <v>676</v>
      </c>
    </row>
    <row r="1236" spans="23:24" x14ac:dyDescent="0.2">
      <c r="W1236" t="s">
        <v>632</v>
      </c>
      <c r="X1236" t="s">
        <v>676</v>
      </c>
    </row>
    <row r="1237" spans="23:24" x14ac:dyDescent="0.2">
      <c r="W1237" t="s">
        <v>633</v>
      </c>
      <c r="X1237" t="s">
        <v>676</v>
      </c>
    </row>
    <row r="1238" spans="23:24" x14ac:dyDescent="0.2">
      <c r="W1238" t="s">
        <v>634</v>
      </c>
      <c r="X1238" t="s">
        <v>676</v>
      </c>
    </row>
    <row r="1239" spans="23:24" x14ac:dyDescent="0.2">
      <c r="W1239" t="s">
        <v>635</v>
      </c>
      <c r="X1239" t="s">
        <v>676</v>
      </c>
    </row>
    <row r="1240" spans="23:24" x14ac:dyDescent="0.2">
      <c r="W1240" t="s">
        <v>636</v>
      </c>
      <c r="X1240" t="s">
        <v>676</v>
      </c>
    </row>
    <row r="1241" spans="23:24" x14ac:dyDescent="0.2">
      <c r="W1241" t="s">
        <v>637</v>
      </c>
      <c r="X1241" t="s">
        <v>676</v>
      </c>
    </row>
    <row r="1242" spans="23:24" x14ac:dyDescent="0.2">
      <c r="W1242" t="s">
        <v>638</v>
      </c>
      <c r="X1242" t="s">
        <v>676</v>
      </c>
    </row>
    <row r="1243" spans="23:24" x14ac:dyDescent="0.2">
      <c r="W1243" t="s">
        <v>639</v>
      </c>
      <c r="X1243" t="s">
        <v>676</v>
      </c>
    </row>
    <row r="1244" spans="23:24" x14ac:dyDescent="0.2">
      <c r="W1244" t="s">
        <v>640</v>
      </c>
      <c r="X1244" t="s">
        <v>676</v>
      </c>
    </row>
    <row r="1245" spans="23:24" x14ac:dyDescent="0.2">
      <c r="W1245" t="s">
        <v>641</v>
      </c>
      <c r="X1245" t="s">
        <v>676</v>
      </c>
    </row>
    <row r="1246" spans="23:24" x14ac:dyDescent="0.2">
      <c r="W1246" t="s">
        <v>642</v>
      </c>
      <c r="X1246" t="s">
        <v>676</v>
      </c>
    </row>
    <row r="1247" spans="23:24" x14ac:dyDescent="0.2">
      <c r="W1247" t="s">
        <v>643</v>
      </c>
      <c r="X1247" t="s">
        <v>676</v>
      </c>
    </row>
    <row r="1248" spans="23:24" x14ac:dyDescent="0.2">
      <c r="W1248" t="s">
        <v>644</v>
      </c>
      <c r="X1248" t="s">
        <v>676</v>
      </c>
    </row>
    <row r="1249" spans="23:24" x14ac:dyDescent="0.2">
      <c r="W1249" t="s">
        <v>645</v>
      </c>
      <c r="X1249" t="s">
        <v>676</v>
      </c>
    </row>
    <row r="1250" spans="23:24" x14ac:dyDescent="0.2">
      <c r="W1250" t="s">
        <v>646</v>
      </c>
      <c r="X1250" t="s">
        <v>676</v>
      </c>
    </row>
    <row r="1251" spans="23:24" x14ac:dyDescent="0.2">
      <c r="W1251" t="s">
        <v>647</v>
      </c>
      <c r="X1251" t="s">
        <v>676</v>
      </c>
    </row>
    <row r="1252" spans="23:24" x14ac:dyDescent="0.2">
      <c r="W1252" t="s">
        <v>648</v>
      </c>
      <c r="X1252" t="s">
        <v>676</v>
      </c>
    </row>
    <row r="1253" spans="23:24" x14ac:dyDescent="0.2">
      <c r="W1253" t="s">
        <v>649</v>
      </c>
      <c r="X1253" t="s">
        <v>676</v>
      </c>
    </row>
    <row r="1254" spans="23:24" x14ac:dyDescent="0.2">
      <c r="W1254" t="s">
        <v>650</v>
      </c>
      <c r="X1254" t="s">
        <v>676</v>
      </c>
    </row>
    <row r="1255" spans="23:24" x14ac:dyDescent="0.2">
      <c r="W1255" t="s">
        <v>651</v>
      </c>
      <c r="X1255" t="s">
        <v>676</v>
      </c>
    </row>
    <row r="1256" spans="23:24" x14ac:dyDescent="0.2">
      <c r="W1256" t="s">
        <v>652</v>
      </c>
      <c r="X1256" t="s">
        <v>676</v>
      </c>
    </row>
    <row r="1257" spans="23:24" x14ac:dyDescent="0.2">
      <c r="W1257" t="s">
        <v>653</v>
      </c>
      <c r="X1257" t="s">
        <v>676</v>
      </c>
    </row>
    <row r="1258" spans="23:24" x14ac:dyDescent="0.2">
      <c r="W1258" t="s">
        <v>654</v>
      </c>
      <c r="X1258" t="s">
        <v>676</v>
      </c>
    </row>
    <row r="1259" spans="23:24" x14ac:dyDescent="0.2">
      <c r="W1259" t="s">
        <v>655</v>
      </c>
      <c r="X1259" t="s">
        <v>676</v>
      </c>
    </row>
    <row r="1260" spans="23:24" x14ac:dyDescent="0.2">
      <c r="W1260" t="s">
        <v>589</v>
      </c>
      <c r="X1260" t="s">
        <v>676</v>
      </c>
    </row>
    <row r="1261" spans="23:24" x14ac:dyDescent="0.2">
      <c r="W1261" t="s">
        <v>590</v>
      </c>
      <c r="X1261" t="s">
        <v>676</v>
      </c>
    </row>
    <row r="1262" spans="23:24" x14ac:dyDescent="0.2">
      <c r="W1262" t="s">
        <v>591</v>
      </c>
      <c r="X1262" t="s">
        <v>676</v>
      </c>
    </row>
    <row r="1263" spans="23:24" x14ac:dyDescent="0.2">
      <c r="W1263" t="s">
        <v>592</v>
      </c>
      <c r="X1263" t="s">
        <v>676</v>
      </c>
    </row>
    <row r="1264" spans="23:24" x14ac:dyDescent="0.2">
      <c r="W1264" t="s">
        <v>593</v>
      </c>
      <c r="X1264" t="s">
        <v>676</v>
      </c>
    </row>
    <row r="1265" spans="23:24" x14ac:dyDescent="0.2">
      <c r="W1265" t="s">
        <v>594</v>
      </c>
      <c r="X1265" t="s">
        <v>676</v>
      </c>
    </row>
    <row r="1266" spans="23:24" x14ac:dyDescent="0.2">
      <c r="W1266" t="s">
        <v>595</v>
      </c>
      <c r="X1266" t="s">
        <v>676</v>
      </c>
    </row>
    <row r="1267" spans="23:24" x14ac:dyDescent="0.2">
      <c r="W1267" t="s">
        <v>596</v>
      </c>
      <c r="X1267" t="s">
        <v>676</v>
      </c>
    </row>
    <row r="1268" spans="23:24" x14ac:dyDescent="0.2">
      <c r="W1268" t="s">
        <v>597</v>
      </c>
      <c r="X1268" t="s">
        <v>676</v>
      </c>
    </row>
    <row r="1269" spans="23:24" x14ac:dyDescent="0.2">
      <c r="W1269" t="s">
        <v>598</v>
      </c>
      <c r="X1269" t="s">
        <v>676</v>
      </c>
    </row>
    <row r="1270" spans="23:24" x14ac:dyDescent="0.2">
      <c r="W1270" t="s">
        <v>599</v>
      </c>
      <c r="X1270" t="s">
        <v>676</v>
      </c>
    </row>
    <row r="1271" spans="23:24" x14ac:dyDescent="0.2">
      <c r="W1271" t="s">
        <v>600</v>
      </c>
      <c r="X1271" t="s">
        <v>676</v>
      </c>
    </row>
    <row r="1272" spans="23:24" x14ac:dyDescent="0.2">
      <c r="W1272" t="s">
        <v>601</v>
      </c>
      <c r="X1272" t="s">
        <v>676</v>
      </c>
    </row>
    <row r="1273" spans="23:24" x14ac:dyDescent="0.2">
      <c r="W1273" t="s">
        <v>602</v>
      </c>
      <c r="X1273" t="s">
        <v>676</v>
      </c>
    </row>
    <row r="1274" spans="23:24" x14ac:dyDescent="0.2">
      <c r="W1274" t="s">
        <v>603</v>
      </c>
      <c r="X1274" t="s">
        <v>676</v>
      </c>
    </row>
    <row r="1275" spans="23:24" x14ac:dyDescent="0.2">
      <c r="W1275" t="s">
        <v>604</v>
      </c>
      <c r="X1275" t="s">
        <v>676</v>
      </c>
    </row>
    <row r="1276" spans="23:24" x14ac:dyDescent="0.2">
      <c r="W1276" t="s">
        <v>605</v>
      </c>
      <c r="X1276" t="s">
        <v>676</v>
      </c>
    </row>
    <row r="1277" spans="23:24" x14ac:dyDescent="0.2">
      <c r="W1277" t="s">
        <v>606</v>
      </c>
      <c r="X1277" t="s">
        <v>676</v>
      </c>
    </row>
    <row r="1278" spans="23:24" x14ac:dyDescent="0.2">
      <c r="W1278" t="s">
        <v>607</v>
      </c>
      <c r="X1278" t="s">
        <v>676</v>
      </c>
    </row>
    <row r="1279" spans="23:24" x14ac:dyDescent="0.2">
      <c r="W1279" t="s">
        <v>608</v>
      </c>
      <c r="X1279" t="s">
        <v>676</v>
      </c>
    </row>
    <row r="1280" spans="23:24" x14ac:dyDescent="0.2">
      <c r="W1280" t="s">
        <v>609</v>
      </c>
      <c r="X1280" t="s">
        <v>676</v>
      </c>
    </row>
    <row r="1281" spans="23:24" x14ac:dyDescent="0.2">
      <c r="W1281" t="s">
        <v>610</v>
      </c>
      <c r="X1281" t="s">
        <v>676</v>
      </c>
    </row>
    <row r="1282" spans="23:24" x14ac:dyDescent="0.2">
      <c r="W1282" t="s">
        <v>611</v>
      </c>
      <c r="X1282" t="s">
        <v>676</v>
      </c>
    </row>
    <row r="1283" spans="23:24" x14ac:dyDescent="0.2">
      <c r="W1283" t="s">
        <v>612</v>
      </c>
      <c r="X1283" t="s">
        <v>676</v>
      </c>
    </row>
    <row r="1284" spans="23:24" x14ac:dyDescent="0.2">
      <c r="W1284" t="s">
        <v>613</v>
      </c>
      <c r="X1284" t="s">
        <v>676</v>
      </c>
    </row>
    <row r="1285" spans="23:24" x14ac:dyDescent="0.2">
      <c r="W1285" t="s">
        <v>614</v>
      </c>
      <c r="X1285" t="s">
        <v>676</v>
      </c>
    </row>
    <row r="1286" spans="23:24" x14ac:dyDescent="0.2">
      <c r="W1286" t="s">
        <v>615</v>
      </c>
      <c r="X1286" t="s">
        <v>676</v>
      </c>
    </row>
    <row r="1287" spans="23:24" x14ac:dyDescent="0.2">
      <c r="W1287" t="s">
        <v>616</v>
      </c>
      <c r="X1287" t="s">
        <v>676</v>
      </c>
    </row>
    <row r="1288" spans="23:24" x14ac:dyDescent="0.2">
      <c r="W1288" t="s">
        <v>617</v>
      </c>
      <c r="X1288" t="s">
        <v>676</v>
      </c>
    </row>
    <row r="1289" spans="23:24" x14ac:dyDescent="0.2">
      <c r="W1289" t="s">
        <v>618</v>
      </c>
      <c r="X1289" t="s">
        <v>676</v>
      </c>
    </row>
    <row r="1290" spans="23:24" x14ac:dyDescent="0.2">
      <c r="W1290" t="s">
        <v>619</v>
      </c>
      <c r="X1290" t="s">
        <v>676</v>
      </c>
    </row>
    <row r="1291" spans="23:24" x14ac:dyDescent="0.2">
      <c r="W1291" t="s">
        <v>620</v>
      </c>
      <c r="X1291" t="s">
        <v>676</v>
      </c>
    </row>
    <row r="1292" spans="23:24" x14ac:dyDescent="0.2">
      <c r="W1292" t="s">
        <v>621</v>
      </c>
      <c r="X1292" t="s">
        <v>676</v>
      </c>
    </row>
    <row r="1293" spans="23:24" x14ac:dyDescent="0.2">
      <c r="W1293" t="s">
        <v>622</v>
      </c>
      <c r="X1293" t="s">
        <v>676</v>
      </c>
    </row>
    <row r="1294" spans="23:24" x14ac:dyDescent="0.2">
      <c r="W1294" t="s">
        <v>623</v>
      </c>
      <c r="X1294" t="s">
        <v>676</v>
      </c>
    </row>
    <row r="1295" spans="23:24" x14ac:dyDescent="0.2">
      <c r="W1295" t="s">
        <v>624</v>
      </c>
      <c r="X1295" t="s">
        <v>676</v>
      </c>
    </row>
    <row r="1296" spans="23:24" x14ac:dyDescent="0.2">
      <c r="W1296" t="s">
        <v>625</v>
      </c>
      <c r="X1296" t="s">
        <v>676</v>
      </c>
    </row>
    <row r="1297" spans="23:24" x14ac:dyDescent="0.2">
      <c r="W1297" t="s">
        <v>626</v>
      </c>
      <c r="X1297" t="s">
        <v>676</v>
      </c>
    </row>
    <row r="1298" spans="23:24" x14ac:dyDescent="0.2">
      <c r="W1298" t="s">
        <v>627</v>
      </c>
      <c r="X1298" t="s">
        <v>676</v>
      </c>
    </row>
    <row r="1299" spans="23:24" x14ac:dyDescent="0.2">
      <c r="W1299" t="s">
        <v>628</v>
      </c>
      <c r="X1299" t="s">
        <v>676</v>
      </c>
    </row>
    <row r="1300" spans="23:24" x14ac:dyDescent="0.2">
      <c r="W1300" t="s">
        <v>629</v>
      </c>
      <c r="X1300" t="s">
        <v>676</v>
      </c>
    </row>
    <row r="1301" spans="23:24" x14ac:dyDescent="0.2">
      <c r="W1301" t="s">
        <v>630</v>
      </c>
      <c r="X1301" t="s">
        <v>676</v>
      </c>
    </row>
    <row r="1302" spans="23:24" x14ac:dyDescent="0.2">
      <c r="W1302" t="s">
        <v>631</v>
      </c>
      <c r="X1302" t="s">
        <v>676</v>
      </c>
    </row>
    <row r="1303" spans="23:24" x14ac:dyDescent="0.2">
      <c r="W1303" t="s">
        <v>632</v>
      </c>
      <c r="X1303" t="s">
        <v>676</v>
      </c>
    </row>
    <row r="1304" spans="23:24" x14ac:dyDescent="0.2">
      <c r="W1304" t="s">
        <v>633</v>
      </c>
      <c r="X1304" t="s">
        <v>676</v>
      </c>
    </row>
    <row r="1305" spans="23:24" x14ac:dyDescent="0.2">
      <c r="W1305" t="s">
        <v>634</v>
      </c>
      <c r="X1305" t="s">
        <v>676</v>
      </c>
    </row>
    <row r="1306" spans="23:24" x14ac:dyDescent="0.2">
      <c r="W1306" t="s">
        <v>635</v>
      </c>
      <c r="X1306" t="s">
        <v>676</v>
      </c>
    </row>
    <row r="1307" spans="23:24" x14ac:dyDescent="0.2">
      <c r="W1307" t="s">
        <v>636</v>
      </c>
      <c r="X1307" t="s">
        <v>676</v>
      </c>
    </row>
    <row r="1308" spans="23:24" x14ac:dyDescent="0.2">
      <c r="W1308" t="s">
        <v>637</v>
      </c>
      <c r="X1308" t="s">
        <v>676</v>
      </c>
    </row>
    <row r="1309" spans="23:24" x14ac:dyDescent="0.2">
      <c r="W1309" t="s">
        <v>638</v>
      </c>
      <c r="X1309" t="s">
        <v>676</v>
      </c>
    </row>
    <row r="1310" spans="23:24" x14ac:dyDescent="0.2">
      <c r="W1310" t="s">
        <v>639</v>
      </c>
      <c r="X1310" t="s">
        <v>676</v>
      </c>
    </row>
    <row r="1311" spans="23:24" x14ac:dyDescent="0.2">
      <c r="W1311" t="s">
        <v>640</v>
      </c>
      <c r="X1311" t="s">
        <v>676</v>
      </c>
    </row>
    <row r="1312" spans="23:24" x14ac:dyDescent="0.2">
      <c r="W1312" t="s">
        <v>641</v>
      </c>
      <c r="X1312" t="s">
        <v>676</v>
      </c>
    </row>
    <row r="1313" spans="23:24" x14ac:dyDescent="0.2">
      <c r="W1313" t="s">
        <v>642</v>
      </c>
      <c r="X1313" t="s">
        <v>676</v>
      </c>
    </row>
    <row r="1314" spans="23:24" x14ac:dyDescent="0.2">
      <c r="W1314" t="s">
        <v>643</v>
      </c>
      <c r="X1314" t="s">
        <v>676</v>
      </c>
    </row>
    <row r="1315" spans="23:24" x14ac:dyDescent="0.2">
      <c r="W1315" t="s">
        <v>644</v>
      </c>
      <c r="X1315" t="s">
        <v>676</v>
      </c>
    </row>
    <row r="1316" spans="23:24" x14ac:dyDescent="0.2">
      <c r="W1316" t="s">
        <v>645</v>
      </c>
      <c r="X1316" t="s">
        <v>676</v>
      </c>
    </row>
    <row r="1317" spans="23:24" x14ac:dyDescent="0.2">
      <c r="W1317" t="s">
        <v>646</v>
      </c>
      <c r="X1317" t="s">
        <v>676</v>
      </c>
    </row>
    <row r="1318" spans="23:24" x14ac:dyDescent="0.2">
      <c r="W1318" t="s">
        <v>647</v>
      </c>
      <c r="X1318" t="s">
        <v>676</v>
      </c>
    </row>
    <row r="1319" spans="23:24" x14ac:dyDescent="0.2">
      <c r="W1319" t="s">
        <v>648</v>
      </c>
      <c r="X1319" t="s">
        <v>676</v>
      </c>
    </row>
    <row r="1320" spans="23:24" x14ac:dyDescent="0.2">
      <c r="W1320" t="s">
        <v>649</v>
      </c>
      <c r="X1320" t="s">
        <v>676</v>
      </c>
    </row>
    <row r="1321" spans="23:24" x14ac:dyDescent="0.2">
      <c r="W1321" t="s">
        <v>650</v>
      </c>
      <c r="X1321" t="s">
        <v>676</v>
      </c>
    </row>
    <row r="1322" spans="23:24" x14ac:dyDescent="0.2">
      <c r="W1322" t="s">
        <v>651</v>
      </c>
      <c r="X1322" t="s">
        <v>676</v>
      </c>
    </row>
    <row r="1323" spans="23:24" x14ac:dyDescent="0.2">
      <c r="W1323" t="s">
        <v>652</v>
      </c>
      <c r="X1323" t="s">
        <v>676</v>
      </c>
    </row>
    <row r="1324" spans="23:24" x14ac:dyDescent="0.2">
      <c r="W1324" t="s">
        <v>653</v>
      </c>
      <c r="X1324" t="s">
        <v>676</v>
      </c>
    </row>
    <row r="1325" spans="23:24" x14ac:dyDescent="0.2">
      <c r="W1325" t="s">
        <v>654</v>
      </c>
      <c r="X1325" t="s">
        <v>676</v>
      </c>
    </row>
    <row r="1326" spans="23:24" x14ac:dyDescent="0.2">
      <c r="W1326" t="s">
        <v>655</v>
      </c>
      <c r="X1326" t="s">
        <v>676</v>
      </c>
    </row>
    <row r="1327" spans="23:24" x14ac:dyDescent="0.2">
      <c r="W1327" t="s">
        <v>656</v>
      </c>
      <c r="X1327" t="s">
        <v>676</v>
      </c>
    </row>
    <row r="1328" spans="23:24" x14ac:dyDescent="0.2">
      <c r="W1328" t="s">
        <v>657</v>
      </c>
      <c r="X1328" t="s">
        <v>676</v>
      </c>
    </row>
    <row r="1329" spans="23:24" x14ac:dyDescent="0.2">
      <c r="W1329" t="s">
        <v>658</v>
      </c>
      <c r="X1329" t="s">
        <v>676</v>
      </c>
    </row>
    <row r="1330" spans="23:24" x14ac:dyDescent="0.2">
      <c r="W1330" t="s">
        <v>659</v>
      </c>
      <c r="X1330" t="s">
        <v>676</v>
      </c>
    </row>
    <row r="1331" spans="23:24" x14ac:dyDescent="0.2">
      <c r="W1331" t="s">
        <v>660</v>
      </c>
      <c r="X1331" t="s">
        <v>676</v>
      </c>
    </row>
    <row r="1332" spans="23:24" x14ac:dyDescent="0.2">
      <c r="W1332" t="s">
        <v>661</v>
      </c>
      <c r="X1332" t="s">
        <v>676</v>
      </c>
    </row>
    <row r="1333" spans="23:24" x14ac:dyDescent="0.2">
      <c r="W1333" t="s">
        <v>662</v>
      </c>
      <c r="X1333" t="s">
        <v>676</v>
      </c>
    </row>
    <row r="1334" spans="23:24" x14ac:dyDescent="0.2">
      <c r="W1334" t="s">
        <v>663</v>
      </c>
      <c r="X1334" t="s">
        <v>676</v>
      </c>
    </row>
    <row r="1335" spans="23:24" x14ac:dyDescent="0.2">
      <c r="W1335" t="s">
        <v>664</v>
      </c>
      <c r="X1335" t="s">
        <v>676</v>
      </c>
    </row>
    <row r="1336" spans="23:24" x14ac:dyDescent="0.2">
      <c r="W1336" t="s">
        <v>665</v>
      </c>
      <c r="X1336" t="s">
        <v>676</v>
      </c>
    </row>
    <row r="1337" spans="23:24" x14ac:dyDescent="0.2">
      <c r="W1337" t="s">
        <v>666</v>
      </c>
      <c r="X1337" t="s">
        <v>676</v>
      </c>
    </row>
    <row r="1338" spans="23:24" x14ac:dyDescent="0.2">
      <c r="W1338" t="s">
        <v>667</v>
      </c>
      <c r="X1338" t="s">
        <v>676</v>
      </c>
    </row>
    <row r="1339" spans="23:24" x14ac:dyDescent="0.2">
      <c r="W1339" t="s">
        <v>668</v>
      </c>
      <c r="X1339" t="s">
        <v>676</v>
      </c>
    </row>
    <row r="1340" spans="23:24" x14ac:dyDescent="0.2">
      <c r="W1340" t="s">
        <v>669</v>
      </c>
      <c r="X1340" t="s">
        <v>676</v>
      </c>
    </row>
    <row r="1341" spans="23:24" x14ac:dyDescent="0.2">
      <c r="W1341" t="s">
        <v>670</v>
      </c>
      <c r="X1341" t="s">
        <v>676</v>
      </c>
    </row>
    <row r="1342" spans="23:24" x14ac:dyDescent="0.2">
      <c r="W1342" t="s">
        <v>671</v>
      </c>
      <c r="X1342" t="s">
        <v>676</v>
      </c>
    </row>
    <row r="1343" spans="23:24" x14ac:dyDescent="0.2">
      <c r="W1343" t="s">
        <v>672</v>
      </c>
      <c r="X1343" t="s">
        <v>676</v>
      </c>
    </row>
    <row r="1344" spans="23:24" x14ac:dyDescent="0.2">
      <c r="W1344" t="s">
        <v>673</v>
      </c>
      <c r="X1344" t="s">
        <v>676</v>
      </c>
    </row>
    <row r="1345" spans="23:24" x14ac:dyDescent="0.2">
      <c r="W1345" t="s">
        <v>674</v>
      </c>
      <c r="X1345" t="s">
        <v>676</v>
      </c>
    </row>
    <row r="1346" spans="23:24" x14ac:dyDescent="0.2">
      <c r="W1346" t="s">
        <v>609</v>
      </c>
      <c r="X1346" t="s">
        <v>676</v>
      </c>
    </row>
    <row r="1347" spans="23:24" x14ac:dyDescent="0.2">
      <c r="W1347" t="s">
        <v>610</v>
      </c>
      <c r="X1347" t="s">
        <v>676</v>
      </c>
    </row>
    <row r="1348" spans="23:24" x14ac:dyDescent="0.2">
      <c r="W1348" t="s">
        <v>611</v>
      </c>
      <c r="X1348" t="s">
        <v>676</v>
      </c>
    </row>
    <row r="1349" spans="23:24" x14ac:dyDescent="0.2">
      <c r="W1349" t="s">
        <v>612</v>
      </c>
      <c r="X1349" t="s">
        <v>676</v>
      </c>
    </row>
    <row r="1350" spans="23:24" x14ac:dyDescent="0.2">
      <c r="W1350" t="s">
        <v>613</v>
      </c>
      <c r="X1350" t="s">
        <v>676</v>
      </c>
    </row>
    <row r="1351" spans="23:24" x14ac:dyDescent="0.2">
      <c r="W1351" t="s">
        <v>614</v>
      </c>
      <c r="X1351" t="s">
        <v>676</v>
      </c>
    </row>
    <row r="1352" spans="23:24" x14ac:dyDescent="0.2">
      <c r="W1352" t="s">
        <v>615</v>
      </c>
      <c r="X1352" t="s">
        <v>676</v>
      </c>
    </row>
    <row r="1353" spans="23:24" x14ac:dyDescent="0.2">
      <c r="W1353" t="s">
        <v>616</v>
      </c>
      <c r="X1353" t="s">
        <v>676</v>
      </c>
    </row>
    <row r="1354" spans="23:24" x14ac:dyDescent="0.2">
      <c r="W1354" t="s">
        <v>617</v>
      </c>
      <c r="X1354" t="s">
        <v>676</v>
      </c>
    </row>
    <row r="1355" spans="23:24" x14ac:dyDescent="0.2">
      <c r="W1355" t="s">
        <v>618</v>
      </c>
      <c r="X1355" t="s">
        <v>676</v>
      </c>
    </row>
    <row r="1356" spans="23:24" x14ac:dyDescent="0.2">
      <c r="W1356" t="s">
        <v>619</v>
      </c>
      <c r="X1356" t="s">
        <v>676</v>
      </c>
    </row>
    <row r="1357" spans="23:24" x14ac:dyDescent="0.2">
      <c r="W1357" t="s">
        <v>620</v>
      </c>
      <c r="X1357" t="s">
        <v>676</v>
      </c>
    </row>
    <row r="1358" spans="23:24" x14ac:dyDescent="0.2">
      <c r="W1358" t="s">
        <v>621</v>
      </c>
      <c r="X1358" t="s">
        <v>676</v>
      </c>
    </row>
    <row r="1359" spans="23:24" x14ac:dyDescent="0.2">
      <c r="W1359" t="s">
        <v>622</v>
      </c>
      <c r="X1359" t="s">
        <v>676</v>
      </c>
    </row>
    <row r="1360" spans="23:24" x14ac:dyDescent="0.2">
      <c r="W1360" t="s">
        <v>623</v>
      </c>
      <c r="X1360" t="s">
        <v>676</v>
      </c>
    </row>
    <row r="1361" spans="23:24" x14ac:dyDescent="0.2">
      <c r="W1361" t="s">
        <v>624</v>
      </c>
      <c r="X1361" t="s">
        <v>676</v>
      </c>
    </row>
    <row r="1362" spans="23:24" x14ac:dyDescent="0.2">
      <c r="W1362" t="s">
        <v>625</v>
      </c>
      <c r="X1362" t="s">
        <v>676</v>
      </c>
    </row>
    <row r="1363" spans="23:24" x14ac:dyDescent="0.2">
      <c r="W1363" t="s">
        <v>626</v>
      </c>
      <c r="X1363" t="s">
        <v>676</v>
      </c>
    </row>
    <row r="1364" spans="23:24" x14ac:dyDescent="0.2">
      <c r="W1364" t="s">
        <v>627</v>
      </c>
      <c r="X1364" t="s">
        <v>676</v>
      </c>
    </row>
    <row r="1365" spans="23:24" x14ac:dyDescent="0.2">
      <c r="W1365" t="s">
        <v>628</v>
      </c>
      <c r="X1365" t="s">
        <v>676</v>
      </c>
    </row>
    <row r="1366" spans="23:24" x14ac:dyDescent="0.2">
      <c r="W1366" t="s">
        <v>629</v>
      </c>
      <c r="X1366" t="s">
        <v>676</v>
      </c>
    </row>
    <row r="1367" spans="23:24" x14ac:dyDescent="0.2">
      <c r="W1367" t="s">
        <v>630</v>
      </c>
      <c r="X1367" t="s">
        <v>676</v>
      </c>
    </row>
    <row r="1368" spans="23:24" x14ac:dyDescent="0.2">
      <c r="W1368" t="s">
        <v>631</v>
      </c>
      <c r="X1368" t="s">
        <v>676</v>
      </c>
    </row>
    <row r="1369" spans="23:24" x14ac:dyDescent="0.2">
      <c r="W1369" t="s">
        <v>632</v>
      </c>
      <c r="X1369" t="s">
        <v>676</v>
      </c>
    </row>
    <row r="1370" spans="23:24" x14ac:dyDescent="0.2">
      <c r="W1370" t="s">
        <v>633</v>
      </c>
      <c r="X1370" t="s">
        <v>676</v>
      </c>
    </row>
    <row r="1371" spans="23:24" x14ac:dyDescent="0.2">
      <c r="W1371" t="s">
        <v>634</v>
      </c>
      <c r="X1371" t="s">
        <v>676</v>
      </c>
    </row>
    <row r="1372" spans="23:24" x14ac:dyDescent="0.2">
      <c r="W1372" t="s">
        <v>635</v>
      </c>
      <c r="X1372" t="s">
        <v>676</v>
      </c>
    </row>
    <row r="1373" spans="23:24" x14ac:dyDescent="0.2">
      <c r="W1373" t="s">
        <v>636</v>
      </c>
      <c r="X1373" t="s">
        <v>676</v>
      </c>
    </row>
    <row r="1374" spans="23:24" x14ac:dyDescent="0.2">
      <c r="W1374" t="s">
        <v>637</v>
      </c>
      <c r="X1374" t="s">
        <v>676</v>
      </c>
    </row>
    <row r="1375" spans="23:24" x14ac:dyDescent="0.2">
      <c r="W1375" t="s">
        <v>638</v>
      </c>
      <c r="X1375" t="s">
        <v>676</v>
      </c>
    </row>
    <row r="1376" spans="23:24" x14ac:dyDescent="0.2">
      <c r="W1376" t="s">
        <v>639</v>
      </c>
      <c r="X1376" t="s">
        <v>676</v>
      </c>
    </row>
    <row r="1377" spans="23:24" x14ac:dyDescent="0.2">
      <c r="W1377" t="s">
        <v>640</v>
      </c>
      <c r="X1377" t="s">
        <v>676</v>
      </c>
    </row>
    <row r="1378" spans="23:24" x14ac:dyDescent="0.2">
      <c r="W1378" t="s">
        <v>641</v>
      </c>
      <c r="X1378" t="s">
        <v>676</v>
      </c>
    </row>
    <row r="1379" spans="23:24" x14ac:dyDescent="0.2">
      <c r="W1379" t="s">
        <v>642</v>
      </c>
      <c r="X1379" t="s">
        <v>676</v>
      </c>
    </row>
    <row r="1380" spans="23:24" x14ac:dyDescent="0.2">
      <c r="W1380" t="s">
        <v>643</v>
      </c>
      <c r="X1380" t="s">
        <v>676</v>
      </c>
    </row>
    <row r="1381" spans="23:24" x14ac:dyDescent="0.2">
      <c r="W1381" t="s">
        <v>644</v>
      </c>
      <c r="X1381" t="s">
        <v>676</v>
      </c>
    </row>
    <row r="1382" spans="23:24" x14ac:dyDescent="0.2">
      <c r="W1382" t="s">
        <v>645</v>
      </c>
      <c r="X1382" t="s">
        <v>676</v>
      </c>
    </row>
    <row r="1383" spans="23:24" x14ac:dyDescent="0.2">
      <c r="W1383" t="s">
        <v>646</v>
      </c>
      <c r="X1383" t="s">
        <v>676</v>
      </c>
    </row>
    <row r="1384" spans="23:24" x14ac:dyDescent="0.2">
      <c r="W1384" t="s">
        <v>647</v>
      </c>
      <c r="X1384" t="s">
        <v>676</v>
      </c>
    </row>
    <row r="1385" spans="23:24" x14ac:dyDescent="0.2">
      <c r="W1385" t="s">
        <v>648</v>
      </c>
      <c r="X1385" t="s">
        <v>676</v>
      </c>
    </row>
    <row r="1386" spans="23:24" x14ac:dyDescent="0.2">
      <c r="W1386" t="s">
        <v>649</v>
      </c>
      <c r="X1386" t="s">
        <v>676</v>
      </c>
    </row>
    <row r="1387" spans="23:24" x14ac:dyDescent="0.2">
      <c r="W1387" t="s">
        <v>650</v>
      </c>
      <c r="X1387" t="s">
        <v>676</v>
      </c>
    </row>
    <row r="1388" spans="23:24" x14ac:dyDescent="0.2">
      <c r="W1388" t="s">
        <v>651</v>
      </c>
      <c r="X1388" t="s">
        <v>676</v>
      </c>
    </row>
    <row r="1389" spans="23:24" x14ac:dyDescent="0.2">
      <c r="W1389" t="s">
        <v>652</v>
      </c>
      <c r="X1389" t="s">
        <v>676</v>
      </c>
    </row>
    <row r="1390" spans="23:24" x14ac:dyDescent="0.2">
      <c r="W1390" t="s">
        <v>653</v>
      </c>
      <c r="X1390" t="s">
        <v>676</v>
      </c>
    </row>
    <row r="1391" spans="23:24" x14ac:dyDescent="0.2">
      <c r="W1391" t="s">
        <v>654</v>
      </c>
      <c r="X1391" t="s">
        <v>676</v>
      </c>
    </row>
    <row r="1392" spans="23:24" x14ac:dyDescent="0.2">
      <c r="W1392" t="s">
        <v>655</v>
      </c>
      <c r="X1392" t="s">
        <v>676</v>
      </c>
    </row>
    <row r="1393" spans="23:24" x14ac:dyDescent="0.2">
      <c r="W1393" t="s">
        <v>656</v>
      </c>
      <c r="X1393" t="s">
        <v>676</v>
      </c>
    </row>
    <row r="1394" spans="23:24" x14ac:dyDescent="0.2">
      <c r="W1394" t="s">
        <v>657</v>
      </c>
      <c r="X1394" t="s">
        <v>676</v>
      </c>
    </row>
    <row r="1395" spans="23:24" x14ac:dyDescent="0.2">
      <c r="W1395" t="s">
        <v>658</v>
      </c>
      <c r="X1395" t="s">
        <v>676</v>
      </c>
    </row>
    <row r="1396" spans="23:24" x14ac:dyDescent="0.2">
      <c r="W1396" t="s">
        <v>659</v>
      </c>
      <c r="X1396" t="s">
        <v>676</v>
      </c>
    </row>
    <row r="1397" spans="23:24" x14ac:dyDescent="0.2">
      <c r="W1397" t="s">
        <v>660</v>
      </c>
      <c r="X1397" t="s">
        <v>676</v>
      </c>
    </row>
    <row r="1398" spans="23:24" x14ac:dyDescent="0.2">
      <c r="W1398" t="s">
        <v>661</v>
      </c>
      <c r="X1398" t="s">
        <v>676</v>
      </c>
    </row>
    <row r="1399" spans="23:24" x14ac:dyDescent="0.2">
      <c r="W1399" t="s">
        <v>662</v>
      </c>
      <c r="X1399" t="s">
        <v>676</v>
      </c>
    </row>
    <row r="1400" spans="23:24" x14ac:dyDescent="0.2">
      <c r="W1400" t="s">
        <v>663</v>
      </c>
      <c r="X1400" t="s">
        <v>676</v>
      </c>
    </row>
    <row r="1401" spans="23:24" x14ac:dyDescent="0.2">
      <c r="W1401" t="s">
        <v>664</v>
      </c>
      <c r="X1401" t="s">
        <v>676</v>
      </c>
    </row>
    <row r="1402" spans="23:24" x14ac:dyDescent="0.2">
      <c r="W1402" t="s">
        <v>665</v>
      </c>
      <c r="X1402" t="s">
        <v>676</v>
      </c>
    </row>
    <row r="1403" spans="23:24" x14ac:dyDescent="0.2">
      <c r="W1403" t="s">
        <v>666</v>
      </c>
      <c r="X1403" t="s">
        <v>676</v>
      </c>
    </row>
    <row r="1404" spans="23:24" x14ac:dyDescent="0.2">
      <c r="W1404" t="s">
        <v>667</v>
      </c>
      <c r="X1404" t="s">
        <v>676</v>
      </c>
    </row>
    <row r="1405" spans="23:24" x14ac:dyDescent="0.2">
      <c r="W1405" t="s">
        <v>668</v>
      </c>
      <c r="X1405" t="s">
        <v>676</v>
      </c>
    </row>
    <row r="1406" spans="23:24" x14ac:dyDescent="0.2">
      <c r="W1406" t="s">
        <v>669</v>
      </c>
      <c r="X1406" t="s">
        <v>676</v>
      </c>
    </row>
    <row r="1407" spans="23:24" x14ac:dyDescent="0.2">
      <c r="W1407" t="s">
        <v>670</v>
      </c>
      <c r="X1407" t="s">
        <v>676</v>
      </c>
    </row>
    <row r="1408" spans="23:24" x14ac:dyDescent="0.2">
      <c r="W1408" t="s">
        <v>671</v>
      </c>
      <c r="X1408" t="s">
        <v>676</v>
      </c>
    </row>
    <row r="1409" spans="23:24" x14ac:dyDescent="0.2">
      <c r="W1409" t="s">
        <v>672</v>
      </c>
      <c r="X1409" t="s">
        <v>676</v>
      </c>
    </row>
    <row r="1410" spans="23:24" x14ac:dyDescent="0.2">
      <c r="W1410" t="s">
        <v>673</v>
      </c>
      <c r="X1410" t="s">
        <v>676</v>
      </c>
    </row>
    <row r="1411" spans="23:24" x14ac:dyDescent="0.2">
      <c r="W1411" t="s">
        <v>674</v>
      </c>
      <c r="X1411" t="s">
        <v>676</v>
      </c>
    </row>
    <row r="1412" spans="23:24" x14ac:dyDescent="0.2">
      <c r="W1412" t="s">
        <v>626</v>
      </c>
      <c r="X1412" t="s">
        <v>676</v>
      </c>
    </row>
    <row r="1413" spans="23:24" x14ac:dyDescent="0.2">
      <c r="W1413" t="s">
        <v>627</v>
      </c>
      <c r="X1413" t="s">
        <v>676</v>
      </c>
    </row>
    <row r="1414" spans="23:24" x14ac:dyDescent="0.2">
      <c r="W1414" t="s">
        <v>628</v>
      </c>
      <c r="X1414" t="s">
        <v>676</v>
      </c>
    </row>
    <row r="1415" spans="23:24" x14ac:dyDescent="0.2">
      <c r="W1415" t="s">
        <v>629</v>
      </c>
      <c r="X1415" t="s">
        <v>676</v>
      </c>
    </row>
    <row r="1416" spans="23:24" x14ac:dyDescent="0.2">
      <c r="W1416" t="s">
        <v>630</v>
      </c>
      <c r="X1416" t="s">
        <v>676</v>
      </c>
    </row>
    <row r="1417" spans="23:24" x14ac:dyDescent="0.2">
      <c r="W1417" t="s">
        <v>631</v>
      </c>
      <c r="X1417" t="s">
        <v>676</v>
      </c>
    </row>
    <row r="1418" spans="23:24" x14ac:dyDescent="0.2">
      <c r="W1418" t="s">
        <v>632</v>
      </c>
      <c r="X1418" t="s">
        <v>676</v>
      </c>
    </row>
    <row r="1419" spans="23:24" x14ac:dyDescent="0.2">
      <c r="W1419" t="s">
        <v>633</v>
      </c>
      <c r="X1419" t="s">
        <v>676</v>
      </c>
    </row>
    <row r="1420" spans="23:24" x14ac:dyDescent="0.2">
      <c r="W1420" t="s">
        <v>634</v>
      </c>
      <c r="X1420" t="s">
        <v>676</v>
      </c>
    </row>
    <row r="1421" spans="23:24" x14ac:dyDescent="0.2">
      <c r="W1421" t="s">
        <v>635</v>
      </c>
      <c r="X1421" t="s">
        <v>676</v>
      </c>
    </row>
    <row r="1422" spans="23:24" x14ac:dyDescent="0.2">
      <c r="W1422" t="s">
        <v>636</v>
      </c>
      <c r="X1422" t="s">
        <v>676</v>
      </c>
    </row>
    <row r="1423" spans="23:24" x14ac:dyDescent="0.2">
      <c r="W1423" t="s">
        <v>637</v>
      </c>
      <c r="X1423" t="s">
        <v>676</v>
      </c>
    </row>
    <row r="1424" spans="23:24" x14ac:dyDescent="0.2">
      <c r="W1424" t="s">
        <v>638</v>
      </c>
      <c r="X1424" t="s">
        <v>676</v>
      </c>
    </row>
    <row r="1425" spans="23:24" x14ac:dyDescent="0.2">
      <c r="W1425" t="s">
        <v>639</v>
      </c>
      <c r="X1425" t="s">
        <v>676</v>
      </c>
    </row>
    <row r="1426" spans="23:24" x14ac:dyDescent="0.2">
      <c r="W1426" t="s">
        <v>640</v>
      </c>
      <c r="X1426" t="s">
        <v>676</v>
      </c>
    </row>
    <row r="1427" spans="23:24" x14ac:dyDescent="0.2">
      <c r="W1427" t="s">
        <v>641</v>
      </c>
      <c r="X1427" t="s">
        <v>676</v>
      </c>
    </row>
    <row r="1428" spans="23:24" x14ac:dyDescent="0.2">
      <c r="W1428" t="s">
        <v>642</v>
      </c>
      <c r="X1428" t="s">
        <v>676</v>
      </c>
    </row>
    <row r="1429" spans="23:24" x14ac:dyDescent="0.2">
      <c r="W1429" t="s">
        <v>643</v>
      </c>
      <c r="X1429" t="s">
        <v>676</v>
      </c>
    </row>
    <row r="1430" spans="23:24" x14ac:dyDescent="0.2">
      <c r="W1430" t="s">
        <v>644</v>
      </c>
      <c r="X1430" t="s">
        <v>676</v>
      </c>
    </row>
    <row r="1431" spans="23:24" x14ac:dyDescent="0.2">
      <c r="W1431" t="s">
        <v>645</v>
      </c>
      <c r="X1431" t="s">
        <v>676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690D-3EB7-4A53-89F0-F2CE7FC40289}">
  <dimension ref="A1:K125"/>
  <sheetViews>
    <sheetView tabSelected="1" workbookViewId="0">
      <selection activeCell="J18" sqref="J18"/>
    </sheetView>
  </sheetViews>
  <sheetFormatPr defaultRowHeight="14.25" x14ac:dyDescent="0.2"/>
  <cols>
    <col min="1" max="1" width="6.375" bestFit="1" customWidth="1"/>
    <col min="2" max="2" width="5.25" bestFit="1" customWidth="1"/>
    <col min="4" max="4" width="5.25" bestFit="1" customWidth="1"/>
    <col min="5" max="5" width="11.625" bestFit="1" customWidth="1"/>
    <col min="7" max="7" width="13" bestFit="1" customWidth="1"/>
    <col min="8" max="8" width="21.375" bestFit="1" customWidth="1"/>
    <col min="9" max="9" width="17.25" bestFit="1" customWidth="1"/>
    <col min="10" max="10" width="52.875" bestFit="1" customWidth="1"/>
  </cols>
  <sheetData>
    <row r="1" spans="1:11" x14ac:dyDescent="0.2">
      <c r="A1" t="s">
        <v>787</v>
      </c>
      <c r="B1" t="s">
        <v>788</v>
      </c>
      <c r="C1" t="s">
        <v>789</v>
      </c>
      <c r="D1" t="s">
        <v>790</v>
      </c>
      <c r="E1" t="s">
        <v>791</v>
      </c>
      <c r="F1" t="s">
        <v>792</v>
      </c>
      <c r="G1" t="s">
        <v>793</v>
      </c>
      <c r="H1" t="s">
        <v>794</v>
      </c>
      <c r="I1" t="s">
        <v>795</v>
      </c>
      <c r="J1" t="s">
        <v>796</v>
      </c>
      <c r="K1" t="s">
        <v>797</v>
      </c>
    </row>
    <row r="2" spans="1:11" x14ac:dyDescent="0.2">
      <c r="A2" t="s">
        <v>31</v>
      </c>
      <c r="B2" t="s">
        <v>156</v>
      </c>
      <c r="C2" t="s">
        <v>26</v>
      </c>
      <c r="D2" t="s">
        <v>160</v>
      </c>
      <c r="E2" t="s">
        <v>798</v>
      </c>
      <c r="F2" t="s">
        <v>676</v>
      </c>
      <c r="G2" t="s">
        <v>553</v>
      </c>
      <c r="H2" t="s">
        <v>679</v>
      </c>
      <c r="I2" t="s">
        <v>690</v>
      </c>
      <c r="J2" t="s">
        <v>734</v>
      </c>
      <c r="K2">
        <v>8</v>
      </c>
    </row>
    <row r="3" spans="1:11" x14ac:dyDescent="0.2">
      <c r="A3" t="s">
        <v>33</v>
      </c>
      <c r="B3" t="s">
        <v>158</v>
      </c>
      <c r="C3" t="s">
        <v>15</v>
      </c>
      <c r="D3" t="s">
        <v>160</v>
      </c>
      <c r="E3" t="s">
        <v>799</v>
      </c>
      <c r="F3" t="s">
        <v>676</v>
      </c>
      <c r="G3" t="s">
        <v>613</v>
      </c>
      <c r="H3" t="s">
        <v>696</v>
      </c>
      <c r="I3" t="s">
        <v>692</v>
      </c>
      <c r="J3" t="s">
        <v>747</v>
      </c>
      <c r="K3">
        <v>2</v>
      </c>
    </row>
    <row r="4" spans="1:11" x14ac:dyDescent="0.2">
      <c r="A4" t="s">
        <v>34</v>
      </c>
      <c r="B4" t="s">
        <v>158</v>
      </c>
      <c r="C4" t="s">
        <v>18</v>
      </c>
      <c r="D4" t="s">
        <v>160</v>
      </c>
      <c r="E4" t="s">
        <v>800</v>
      </c>
      <c r="F4" t="s">
        <v>676</v>
      </c>
      <c r="G4" t="s">
        <v>574</v>
      </c>
      <c r="H4" t="s">
        <v>689</v>
      </c>
      <c r="I4" t="s">
        <v>692</v>
      </c>
      <c r="J4" t="s">
        <v>747</v>
      </c>
      <c r="K4">
        <v>8</v>
      </c>
    </row>
    <row r="5" spans="1:11" x14ac:dyDescent="0.2">
      <c r="A5" t="s">
        <v>35</v>
      </c>
      <c r="B5" t="s">
        <v>158</v>
      </c>
      <c r="C5" t="s">
        <v>19</v>
      </c>
      <c r="D5" t="s">
        <v>160</v>
      </c>
      <c r="E5" t="s">
        <v>801</v>
      </c>
      <c r="F5" t="s">
        <v>675</v>
      </c>
      <c r="G5" t="s">
        <v>314</v>
      </c>
      <c r="H5" t="s">
        <v>681</v>
      </c>
      <c r="I5" t="s">
        <v>687</v>
      </c>
      <c r="J5" t="s">
        <v>757</v>
      </c>
      <c r="K5">
        <v>11</v>
      </c>
    </row>
    <row r="6" spans="1:11" x14ac:dyDescent="0.2">
      <c r="A6" t="s">
        <v>36</v>
      </c>
      <c r="B6" t="s">
        <v>158</v>
      </c>
      <c r="C6" t="s">
        <v>14</v>
      </c>
      <c r="D6" t="s">
        <v>160</v>
      </c>
      <c r="E6" t="s">
        <v>802</v>
      </c>
      <c r="F6" t="s">
        <v>675</v>
      </c>
      <c r="G6" t="s">
        <v>218</v>
      </c>
      <c r="H6" t="s">
        <v>683</v>
      </c>
      <c r="I6" t="s">
        <v>690</v>
      </c>
      <c r="J6" t="s">
        <v>730</v>
      </c>
      <c r="K6">
        <v>2</v>
      </c>
    </row>
    <row r="7" spans="1:11" x14ac:dyDescent="0.2">
      <c r="A7" t="s">
        <v>37</v>
      </c>
      <c r="B7" t="s">
        <v>158</v>
      </c>
      <c r="C7" t="s">
        <v>18</v>
      </c>
      <c r="D7" t="s">
        <v>160</v>
      </c>
      <c r="E7" t="s">
        <v>803</v>
      </c>
      <c r="F7" t="s">
        <v>675</v>
      </c>
      <c r="G7" t="s">
        <v>253</v>
      </c>
      <c r="H7" t="s">
        <v>682</v>
      </c>
      <c r="I7" t="s">
        <v>687</v>
      </c>
      <c r="J7" t="s">
        <v>753</v>
      </c>
      <c r="K7">
        <v>4</v>
      </c>
    </row>
    <row r="8" spans="1:11" x14ac:dyDescent="0.2">
      <c r="A8" t="s">
        <v>38</v>
      </c>
      <c r="B8" t="s">
        <v>158</v>
      </c>
      <c r="C8" t="s">
        <v>25</v>
      </c>
      <c r="D8" t="s">
        <v>160</v>
      </c>
      <c r="E8" t="s">
        <v>804</v>
      </c>
      <c r="F8" t="s">
        <v>675</v>
      </c>
      <c r="G8" t="s">
        <v>347</v>
      </c>
      <c r="H8" t="s">
        <v>682</v>
      </c>
      <c r="I8" t="s">
        <v>687</v>
      </c>
      <c r="J8" t="s">
        <v>755</v>
      </c>
      <c r="K8">
        <v>7</v>
      </c>
    </row>
    <row r="9" spans="1:11" x14ac:dyDescent="0.2">
      <c r="A9" t="s">
        <v>39</v>
      </c>
      <c r="B9" t="s">
        <v>158</v>
      </c>
      <c r="C9" t="s">
        <v>21</v>
      </c>
      <c r="D9" t="s">
        <v>160</v>
      </c>
      <c r="E9" t="s">
        <v>805</v>
      </c>
      <c r="F9" t="s">
        <v>675</v>
      </c>
      <c r="G9" t="s">
        <v>333</v>
      </c>
      <c r="H9" t="s">
        <v>682</v>
      </c>
      <c r="I9" t="s">
        <v>687</v>
      </c>
      <c r="J9" t="s">
        <v>757</v>
      </c>
      <c r="K9">
        <v>8</v>
      </c>
    </row>
    <row r="10" spans="1:11" x14ac:dyDescent="0.2">
      <c r="A10" t="s">
        <v>40</v>
      </c>
      <c r="B10" t="s">
        <v>156</v>
      </c>
      <c r="C10" t="s">
        <v>16</v>
      </c>
      <c r="D10" t="s">
        <v>160</v>
      </c>
      <c r="E10" t="s">
        <v>806</v>
      </c>
      <c r="F10" t="s">
        <v>675</v>
      </c>
      <c r="G10" t="s">
        <v>251</v>
      </c>
      <c r="H10" t="s">
        <v>705</v>
      </c>
      <c r="I10" t="s">
        <v>690</v>
      </c>
      <c r="J10" t="s">
        <v>734</v>
      </c>
      <c r="K10">
        <v>3</v>
      </c>
    </row>
    <row r="11" spans="1:11" x14ac:dyDescent="0.2">
      <c r="A11" t="s">
        <v>41</v>
      </c>
      <c r="B11" t="s">
        <v>156</v>
      </c>
      <c r="C11" t="s">
        <v>30</v>
      </c>
      <c r="D11" t="s">
        <v>160</v>
      </c>
      <c r="E11" t="s">
        <v>807</v>
      </c>
      <c r="F11" t="s">
        <v>675</v>
      </c>
      <c r="G11" t="s">
        <v>237</v>
      </c>
      <c r="H11" t="s">
        <v>704</v>
      </c>
      <c r="I11" t="s">
        <v>690</v>
      </c>
      <c r="J11" t="s">
        <v>715</v>
      </c>
      <c r="K11">
        <v>3</v>
      </c>
    </row>
    <row r="12" spans="1:11" x14ac:dyDescent="0.2">
      <c r="A12" t="s">
        <v>42</v>
      </c>
      <c r="B12" t="s">
        <v>158</v>
      </c>
      <c r="C12" t="s">
        <v>22</v>
      </c>
      <c r="D12" t="s">
        <v>160</v>
      </c>
      <c r="E12" t="s">
        <v>808</v>
      </c>
      <c r="F12" t="s">
        <v>675</v>
      </c>
      <c r="G12" t="s">
        <v>501</v>
      </c>
      <c r="H12" t="s">
        <v>700</v>
      </c>
      <c r="I12" t="s">
        <v>690</v>
      </c>
      <c r="J12" t="s">
        <v>723</v>
      </c>
      <c r="K12">
        <v>10</v>
      </c>
    </row>
    <row r="13" spans="1:11" x14ac:dyDescent="0.2">
      <c r="A13" t="s">
        <v>43</v>
      </c>
      <c r="B13" t="s">
        <v>158</v>
      </c>
      <c r="C13" t="s">
        <v>29</v>
      </c>
      <c r="D13" t="s">
        <v>160</v>
      </c>
      <c r="E13" t="s">
        <v>809</v>
      </c>
      <c r="F13" t="s">
        <v>675</v>
      </c>
      <c r="G13" t="s">
        <v>329</v>
      </c>
      <c r="H13" t="s">
        <v>702</v>
      </c>
      <c r="I13" t="s">
        <v>690</v>
      </c>
      <c r="J13" t="s">
        <v>730</v>
      </c>
      <c r="K13">
        <v>10</v>
      </c>
    </row>
    <row r="14" spans="1:11" x14ac:dyDescent="0.2">
      <c r="A14" t="s">
        <v>44</v>
      </c>
      <c r="B14" t="s">
        <v>158</v>
      </c>
      <c r="C14" t="s">
        <v>17</v>
      </c>
      <c r="D14" t="s">
        <v>160</v>
      </c>
      <c r="E14" t="s">
        <v>810</v>
      </c>
      <c r="F14" t="s">
        <v>675</v>
      </c>
      <c r="G14" t="s">
        <v>517</v>
      </c>
      <c r="H14" t="s">
        <v>683</v>
      </c>
      <c r="I14" t="s">
        <v>690</v>
      </c>
      <c r="J14" t="s">
        <v>736</v>
      </c>
      <c r="K14">
        <v>9</v>
      </c>
    </row>
    <row r="15" spans="1:11" x14ac:dyDescent="0.2">
      <c r="A15" t="s">
        <v>45</v>
      </c>
      <c r="B15" t="s">
        <v>158</v>
      </c>
      <c r="C15" t="s">
        <v>21</v>
      </c>
      <c r="D15" t="s">
        <v>160</v>
      </c>
      <c r="E15" t="s">
        <v>811</v>
      </c>
      <c r="F15" t="s">
        <v>675</v>
      </c>
      <c r="G15" t="s">
        <v>474</v>
      </c>
      <c r="H15" t="s">
        <v>682</v>
      </c>
      <c r="I15" t="s">
        <v>687</v>
      </c>
      <c r="J15" t="s">
        <v>753</v>
      </c>
      <c r="K15">
        <v>8</v>
      </c>
    </row>
    <row r="16" spans="1:11" x14ac:dyDescent="0.2">
      <c r="A16" t="s">
        <v>46</v>
      </c>
      <c r="B16" t="s">
        <v>158</v>
      </c>
      <c r="C16" t="s">
        <v>17</v>
      </c>
      <c r="D16" t="s">
        <v>160</v>
      </c>
      <c r="E16" t="s">
        <v>812</v>
      </c>
      <c r="F16" t="s">
        <v>675</v>
      </c>
      <c r="G16" t="s">
        <v>470</v>
      </c>
      <c r="H16" t="s">
        <v>684</v>
      </c>
      <c r="I16" t="s">
        <v>694</v>
      </c>
      <c r="J16" t="s">
        <v>767</v>
      </c>
      <c r="K16">
        <v>3</v>
      </c>
    </row>
    <row r="17" spans="1:11" x14ac:dyDescent="0.2">
      <c r="A17" t="s">
        <v>47</v>
      </c>
      <c r="B17" t="s">
        <v>156</v>
      </c>
      <c r="C17" t="s">
        <v>22</v>
      </c>
      <c r="D17" t="s">
        <v>160</v>
      </c>
      <c r="E17" t="s">
        <v>813</v>
      </c>
      <c r="F17" t="s">
        <v>675</v>
      </c>
      <c r="G17" t="s">
        <v>512</v>
      </c>
      <c r="H17" t="s">
        <v>705</v>
      </c>
      <c r="I17" t="s">
        <v>690</v>
      </c>
      <c r="J17" t="s">
        <v>710</v>
      </c>
      <c r="K17">
        <v>10</v>
      </c>
    </row>
    <row r="18" spans="1:11" x14ac:dyDescent="0.2">
      <c r="A18" t="s">
        <v>48</v>
      </c>
      <c r="B18" t="s">
        <v>156</v>
      </c>
      <c r="C18" t="s">
        <v>21</v>
      </c>
      <c r="D18" t="s">
        <v>160</v>
      </c>
      <c r="E18" t="s">
        <v>814</v>
      </c>
      <c r="F18" t="s">
        <v>675</v>
      </c>
      <c r="G18" t="s">
        <v>340</v>
      </c>
      <c r="H18" t="s">
        <v>702</v>
      </c>
      <c r="I18" t="s">
        <v>690</v>
      </c>
      <c r="J18" t="s">
        <v>717</v>
      </c>
      <c r="K18">
        <v>3</v>
      </c>
    </row>
    <row r="19" spans="1:11" x14ac:dyDescent="0.2">
      <c r="A19" t="s">
        <v>49</v>
      </c>
      <c r="B19" t="s">
        <v>158</v>
      </c>
      <c r="C19" t="s">
        <v>14</v>
      </c>
      <c r="D19" t="s">
        <v>160</v>
      </c>
      <c r="E19" t="s">
        <v>815</v>
      </c>
      <c r="F19" t="s">
        <v>675</v>
      </c>
      <c r="G19" t="s">
        <v>479</v>
      </c>
      <c r="H19" t="s">
        <v>703</v>
      </c>
      <c r="I19" t="s">
        <v>690</v>
      </c>
      <c r="J19" t="s">
        <v>711</v>
      </c>
      <c r="K19">
        <v>1</v>
      </c>
    </row>
    <row r="20" spans="1:11" x14ac:dyDescent="0.2">
      <c r="A20" t="s">
        <v>50</v>
      </c>
      <c r="B20" t="s">
        <v>156</v>
      </c>
      <c r="C20" t="s">
        <v>25</v>
      </c>
      <c r="D20" t="s">
        <v>160</v>
      </c>
      <c r="E20" t="s">
        <v>816</v>
      </c>
      <c r="F20" t="s">
        <v>675</v>
      </c>
      <c r="G20" t="s">
        <v>487</v>
      </c>
      <c r="H20" t="s">
        <v>682</v>
      </c>
      <c r="I20" t="s">
        <v>687</v>
      </c>
      <c r="J20" t="s">
        <v>753</v>
      </c>
      <c r="K20">
        <v>2</v>
      </c>
    </row>
    <row r="21" spans="1:11" x14ac:dyDescent="0.2">
      <c r="A21" t="s">
        <v>51</v>
      </c>
      <c r="B21" t="s">
        <v>158</v>
      </c>
      <c r="C21" t="s">
        <v>17</v>
      </c>
      <c r="D21" t="s">
        <v>160</v>
      </c>
      <c r="E21" t="s">
        <v>817</v>
      </c>
      <c r="F21" t="s">
        <v>675</v>
      </c>
      <c r="G21" t="s">
        <v>196</v>
      </c>
      <c r="H21" t="s">
        <v>704</v>
      </c>
      <c r="I21" t="s">
        <v>690</v>
      </c>
      <c r="J21" t="s">
        <v>690</v>
      </c>
      <c r="K21">
        <v>10</v>
      </c>
    </row>
    <row r="22" spans="1:11" x14ac:dyDescent="0.2">
      <c r="A22" t="s">
        <v>52</v>
      </c>
      <c r="B22" t="s">
        <v>158</v>
      </c>
      <c r="C22" t="s">
        <v>21</v>
      </c>
      <c r="D22" t="s">
        <v>160</v>
      </c>
      <c r="E22" t="s">
        <v>818</v>
      </c>
      <c r="F22" t="s">
        <v>675</v>
      </c>
      <c r="G22" t="s">
        <v>214</v>
      </c>
      <c r="H22" t="s">
        <v>681</v>
      </c>
      <c r="I22" t="s">
        <v>687</v>
      </c>
      <c r="J22" t="s">
        <v>819</v>
      </c>
      <c r="K22">
        <v>10</v>
      </c>
    </row>
    <row r="23" spans="1:11" x14ac:dyDescent="0.2">
      <c r="A23" t="s">
        <v>53</v>
      </c>
      <c r="B23" t="s">
        <v>158</v>
      </c>
      <c r="C23" t="s">
        <v>29</v>
      </c>
      <c r="D23" t="s">
        <v>160</v>
      </c>
      <c r="E23" t="s">
        <v>820</v>
      </c>
      <c r="F23" t="s">
        <v>675</v>
      </c>
      <c r="G23" t="s">
        <v>451</v>
      </c>
      <c r="H23" t="s">
        <v>681</v>
      </c>
      <c r="I23" t="s">
        <v>687</v>
      </c>
      <c r="J23" t="s">
        <v>821</v>
      </c>
      <c r="K23">
        <v>5</v>
      </c>
    </row>
    <row r="24" spans="1:11" x14ac:dyDescent="0.2">
      <c r="A24" t="s">
        <v>54</v>
      </c>
      <c r="B24" t="s">
        <v>156</v>
      </c>
      <c r="C24" t="s">
        <v>30</v>
      </c>
      <c r="D24" t="s">
        <v>160</v>
      </c>
      <c r="E24" t="s">
        <v>822</v>
      </c>
      <c r="F24" t="s">
        <v>675</v>
      </c>
      <c r="G24" t="s">
        <v>446</v>
      </c>
      <c r="H24" t="s">
        <v>684</v>
      </c>
      <c r="I24" t="s">
        <v>694</v>
      </c>
      <c r="J24" t="s">
        <v>775</v>
      </c>
      <c r="K24">
        <v>11</v>
      </c>
    </row>
    <row r="25" spans="1:11" x14ac:dyDescent="0.2">
      <c r="A25" t="s">
        <v>55</v>
      </c>
      <c r="B25" t="s">
        <v>156</v>
      </c>
      <c r="C25" t="s">
        <v>28</v>
      </c>
      <c r="D25" t="s">
        <v>160</v>
      </c>
      <c r="E25" t="s">
        <v>823</v>
      </c>
      <c r="F25" t="s">
        <v>675</v>
      </c>
      <c r="G25" t="s">
        <v>478</v>
      </c>
      <c r="H25" t="s">
        <v>702</v>
      </c>
      <c r="I25" t="s">
        <v>690</v>
      </c>
      <c r="J25" t="s">
        <v>724</v>
      </c>
      <c r="K25">
        <v>7</v>
      </c>
    </row>
    <row r="26" spans="1:11" x14ac:dyDescent="0.2">
      <c r="A26" t="s">
        <v>56</v>
      </c>
      <c r="B26" t="s">
        <v>156</v>
      </c>
      <c r="C26" t="s">
        <v>18</v>
      </c>
      <c r="D26" t="s">
        <v>160</v>
      </c>
      <c r="E26" t="s">
        <v>824</v>
      </c>
      <c r="F26" t="s">
        <v>676</v>
      </c>
      <c r="G26" t="s">
        <v>608</v>
      </c>
      <c r="H26" t="s">
        <v>699</v>
      </c>
      <c r="I26" t="s">
        <v>690</v>
      </c>
      <c r="J26" t="s">
        <v>715</v>
      </c>
      <c r="K26">
        <v>3</v>
      </c>
    </row>
    <row r="27" spans="1:11" x14ac:dyDescent="0.2">
      <c r="A27" t="s">
        <v>57</v>
      </c>
      <c r="B27" t="s">
        <v>158</v>
      </c>
      <c r="C27" t="s">
        <v>13</v>
      </c>
      <c r="D27" t="s">
        <v>160</v>
      </c>
      <c r="E27" t="s">
        <v>825</v>
      </c>
      <c r="F27" t="s">
        <v>675</v>
      </c>
      <c r="G27" t="s">
        <v>438</v>
      </c>
      <c r="H27" t="s">
        <v>681</v>
      </c>
      <c r="I27" t="s">
        <v>687</v>
      </c>
      <c r="J27" t="s">
        <v>819</v>
      </c>
      <c r="K27">
        <v>9</v>
      </c>
    </row>
    <row r="28" spans="1:11" x14ac:dyDescent="0.2">
      <c r="A28" t="s">
        <v>58</v>
      </c>
      <c r="B28" t="s">
        <v>158</v>
      </c>
      <c r="C28" t="s">
        <v>23</v>
      </c>
      <c r="D28" t="s">
        <v>160</v>
      </c>
      <c r="E28" t="s">
        <v>826</v>
      </c>
      <c r="F28" t="s">
        <v>675</v>
      </c>
      <c r="G28" t="s">
        <v>274</v>
      </c>
      <c r="H28" t="s">
        <v>701</v>
      </c>
      <c r="I28" t="s">
        <v>690</v>
      </c>
      <c r="J28" t="s">
        <v>716</v>
      </c>
      <c r="K28">
        <v>10</v>
      </c>
    </row>
    <row r="29" spans="1:11" x14ac:dyDescent="0.2">
      <c r="A29" t="s">
        <v>59</v>
      </c>
      <c r="B29" t="s">
        <v>158</v>
      </c>
      <c r="C29" t="s">
        <v>16</v>
      </c>
      <c r="D29" t="s">
        <v>160</v>
      </c>
      <c r="E29" t="s">
        <v>827</v>
      </c>
      <c r="F29" t="s">
        <v>676</v>
      </c>
      <c r="G29" t="s">
        <v>613</v>
      </c>
      <c r="H29" t="s">
        <v>699</v>
      </c>
      <c r="I29" t="s">
        <v>690</v>
      </c>
      <c r="J29" t="s">
        <v>733</v>
      </c>
      <c r="K29">
        <v>6</v>
      </c>
    </row>
    <row r="30" spans="1:11" x14ac:dyDescent="0.2">
      <c r="A30" t="s">
        <v>60</v>
      </c>
      <c r="B30" t="s">
        <v>158</v>
      </c>
      <c r="C30" t="s">
        <v>16</v>
      </c>
      <c r="D30" t="s">
        <v>160</v>
      </c>
      <c r="E30" t="s">
        <v>828</v>
      </c>
      <c r="F30" t="s">
        <v>676</v>
      </c>
      <c r="G30" t="s">
        <v>627</v>
      </c>
      <c r="H30" t="s">
        <v>685</v>
      </c>
      <c r="I30" t="s">
        <v>687</v>
      </c>
      <c r="J30" t="s">
        <v>762</v>
      </c>
      <c r="K30">
        <v>13</v>
      </c>
    </row>
    <row r="31" spans="1:11" x14ac:dyDescent="0.2">
      <c r="A31" t="s">
        <v>61</v>
      </c>
      <c r="B31" t="s">
        <v>156</v>
      </c>
      <c r="C31" t="s">
        <v>13</v>
      </c>
      <c r="D31" t="s">
        <v>160</v>
      </c>
      <c r="E31" t="s">
        <v>829</v>
      </c>
      <c r="F31" t="s">
        <v>675</v>
      </c>
      <c r="G31" t="s">
        <v>483</v>
      </c>
      <c r="H31" t="s">
        <v>681</v>
      </c>
      <c r="I31" t="s">
        <v>687</v>
      </c>
      <c r="J31" t="s">
        <v>819</v>
      </c>
      <c r="K31">
        <v>6</v>
      </c>
    </row>
    <row r="32" spans="1:11" x14ac:dyDescent="0.2">
      <c r="A32" t="s">
        <v>62</v>
      </c>
      <c r="B32" t="s">
        <v>158</v>
      </c>
      <c r="C32" t="s">
        <v>25</v>
      </c>
      <c r="D32" t="s">
        <v>160</v>
      </c>
      <c r="E32" t="s">
        <v>830</v>
      </c>
      <c r="F32" t="s">
        <v>675</v>
      </c>
      <c r="G32" t="s">
        <v>217</v>
      </c>
      <c r="H32" t="s">
        <v>683</v>
      </c>
      <c r="I32" t="s">
        <v>690</v>
      </c>
      <c r="J32" t="s">
        <v>739</v>
      </c>
      <c r="K32">
        <v>5</v>
      </c>
    </row>
    <row r="33" spans="1:11" x14ac:dyDescent="0.2">
      <c r="A33" t="s">
        <v>63</v>
      </c>
      <c r="B33" t="s">
        <v>156</v>
      </c>
      <c r="C33" t="s">
        <v>14</v>
      </c>
      <c r="D33" t="s">
        <v>160</v>
      </c>
      <c r="E33" t="s">
        <v>831</v>
      </c>
      <c r="F33" t="s">
        <v>675</v>
      </c>
      <c r="G33" t="s">
        <v>474</v>
      </c>
      <c r="H33" t="s">
        <v>702</v>
      </c>
      <c r="I33" t="s">
        <v>690</v>
      </c>
      <c r="J33" t="s">
        <v>715</v>
      </c>
      <c r="K33">
        <v>10</v>
      </c>
    </row>
    <row r="34" spans="1:11" x14ac:dyDescent="0.2">
      <c r="A34" t="s">
        <v>64</v>
      </c>
      <c r="B34" t="s">
        <v>158</v>
      </c>
      <c r="C34" t="s">
        <v>27</v>
      </c>
      <c r="D34" t="s">
        <v>160</v>
      </c>
      <c r="E34" t="s">
        <v>832</v>
      </c>
      <c r="F34" t="s">
        <v>675</v>
      </c>
      <c r="G34" t="s">
        <v>385</v>
      </c>
      <c r="H34" t="s">
        <v>702</v>
      </c>
      <c r="I34" t="s">
        <v>690</v>
      </c>
      <c r="J34" t="s">
        <v>738</v>
      </c>
      <c r="K34">
        <v>12</v>
      </c>
    </row>
    <row r="35" spans="1:11" x14ac:dyDescent="0.2">
      <c r="A35" t="s">
        <v>65</v>
      </c>
      <c r="B35" t="s">
        <v>158</v>
      </c>
      <c r="C35" t="s">
        <v>14</v>
      </c>
      <c r="D35" t="s">
        <v>160</v>
      </c>
      <c r="E35" t="s">
        <v>833</v>
      </c>
      <c r="F35" t="s">
        <v>675</v>
      </c>
      <c r="G35" t="s">
        <v>268</v>
      </c>
      <c r="H35" t="s">
        <v>705</v>
      </c>
      <c r="I35" t="s">
        <v>690</v>
      </c>
      <c r="J35" t="s">
        <v>739</v>
      </c>
      <c r="K35">
        <v>10</v>
      </c>
    </row>
    <row r="36" spans="1:11" x14ac:dyDescent="0.2">
      <c r="A36" t="s">
        <v>66</v>
      </c>
      <c r="B36" t="s">
        <v>158</v>
      </c>
      <c r="C36" t="s">
        <v>16</v>
      </c>
      <c r="D36" t="s">
        <v>160</v>
      </c>
      <c r="E36" t="s">
        <v>834</v>
      </c>
      <c r="F36" t="s">
        <v>675</v>
      </c>
      <c r="G36" t="s">
        <v>231</v>
      </c>
      <c r="H36" t="s">
        <v>682</v>
      </c>
      <c r="I36" t="s">
        <v>687</v>
      </c>
      <c r="J36" t="s">
        <v>762</v>
      </c>
      <c r="K36">
        <v>2</v>
      </c>
    </row>
    <row r="37" spans="1:11" x14ac:dyDescent="0.2">
      <c r="A37" t="s">
        <v>67</v>
      </c>
      <c r="B37" t="s">
        <v>156</v>
      </c>
      <c r="C37" t="s">
        <v>21</v>
      </c>
      <c r="D37" t="s">
        <v>160</v>
      </c>
      <c r="E37" t="s">
        <v>835</v>
      </c>
      <c r="F37" t="s">
        <v>675</v>
      </c>
      <c r="G37" t="s">
        <v>440</v>
      </c>
      <c r="H37" t="s">
        <v>683</v>
      </c>
      <c r="I37" t="s">
        <v>690</v>
      </c>
      <c r="J37" t="s">
        <v>734</v>
      </c>
      <c r="K37">
        <v>2</v>
      </c>
    </row>
    <row r="38" spans="1:11" x14ac:dyDescent="0.2">
      <c r="A38" t="s">
        <v>68</v>
      </c>
      <c r="B38" t="s">
        <v>158</v>
      </c>
      <c r="C38" t="s">
        <v>18</v>
      </c>
      <c r="D38" t="s">
        <v>160</v>
      </c>
      <c r="E38" t="s">
        <v>836</v>
      </c>
      <c r="F38" t="s">
        <v>676</v>
      </c>
      <c r="G38" t="s">
        <v>564</v>
      </c>
      <c r="H38" t="s">
        <v>698</v>
      </c>
      <c r="I38" t="s">
        <v>708</v>
      </c>
      <c r="J38" t="s">
        <v>711</v>
      </c>
      <c r="K38">
        <v>2</v>
      </c>
    </row>
    <row r="39" spans="1:11" x14ac:dyDescent="0.2">
      <c r="A39" t="s">
        <v>69</v>
      </c>
      <c r="B39" t="s">
        <v>156</v>
      </c>
      <c r="C39" t="s">
        <v>29</v>
      </c>
      <c r="D39" t="s">
        <v>160</v>
      </c>
      <c r="E39" t="s">
        <v>837</v>
      </c>
      <c r="F39" t="s">
        <v>675</v>
      </c>
      <c r="G39" t="s">
        <v>317</v>
      </c>
      <c r="H39" t="s">
        <v>700</v>
      </c>
      <c r="I39" t="s">
        <v>690</v>
      </c>
      <c r="J39" t="s">
        <v>734</v>
      </c>
      <c r="K39">
        <v>7</v>
      </c>
    </row>
    <row r="40" spans="1:11" x14ac:dyDescent="0.2">
      <c r="A40" t="s">
        <v>70</v>
      </c>
      <c r="B40" t="s">
        <v>158</v>
      </c>
      <c r="C40" t="s">
        <v>19</v>
      </c>
      <c r="D40" t="s">
        <v>160</v>
      </c>
      <c r="E40" t="s">
        <v>838</v>
      </c>
      <c r="F40" t="s">
        <v>675</v>
      </c>
      <c r="G40" t="s">
        <v>370</v>
      </c>
      <c r="H40" t="s">
        <v>700</v>
      </c>
      <c r="I40" t="s">
        <v>690</v>
      </c>
      <c r="J40" t="s">
        <v>717</v>
      </c>
      <c r="K40">
        <v>10</v>
      </c>
    </row>
    <row r="41" spans="1:11" x14ac:dyDescent="0.2">
      <c r="A41" t="s">
        <v>71</v>
      </c>
      <c r="B41" t="s">
        <v>158</v>
      </c>
      <c r="C41" t="s">
        <v>18</v>
      </c>
      <c r="D41" t="s">
        <v>160</v>
      </c>
      <c r="E41" t="s">
        <v>839</v>
      </c>
      <c r="F41" t="s">
        <v>675</v>
      </c>
      <c r="G41" t="s">
        <v>318</v>
      </c>
      <c r="H41" t="s">
        <v>703</v>
      </c>
      <c r="I41" t="s">
        <v>690</v>
      </c>
      <c r="J41" t="s">
        <v>719</v>
      </c>
      <c r="K41">
        <v>8</v>
      </c>
    </row>
    <row r="42" spans="1:11" x14ac:dyDescent="0.2">
      <c r="A42" t="s">
        <v>72</v>
      </c>
      <c r="B42" t="s">
        <v>156</v>
      </c>
      <c r="C42" t="s">
        <v>21</v>
      </c>
      <c r="D42" t="s">
        <v>160</v>
      </c>
      <c r="E42" t="s">
        <v>840</v>
      </c>
      <c r="F42" t="s">
        <v>676</v>
      </c>
      <c r="G42" t="s">
        <v>574</v>
      </c>
      <c r="H42" t="s">
        <v>678</v>
      </c>
      <c r="I42" t="s">
        <v>687</v>
      </c>
      <c r="J42" t="s">
        <v>753</v>
      </c>
      <c r="K42">
        <v>12</v>
      </c>
    </row>
    <row r="43" spans="1:11" x14ac:dyDescent="0.2">
      <c r="A43" t="s">
        <v>73</v>
      </c>
      <c r="B43" t="s">
        <v>158</v>
      </c>
      <c r="C43" t="s">
        <v>16</v>
      </c>
      <c r="D43" t="s">
        <v>160</v>
      </c>
      <c r="E43" t="s">
        <v>841</v>
      </c>
      <c r="F43" t="s">
        <v>675</v>
      </c>
      <c r="G43" t="s">
        <v>269</v>
      </c>
      <c r="H43" t="s">
        <v>682</v>
      </c>
      <c r="I43" t="s">
        <v>687</v>
      </c>
      <c r="J43" t="s">
        <v>785</v>
      </c>
      <c r="K43">
        <v>3</v>
      </c>
    </row>
    <row r="44" spans="1:11" x14ac:dyDescent="0.2">
      <c r="A44" t="s">
        <v>74</v>
      </c>
      <c r="B44" t="s">
        <v>158</v>
      </c>
      <c r="C44" t="s">
        <v>23</v>
      </c>
      <c r="D44" t="s">
        <v>160</v>
      </c>
      <c r="E44" t="s">
        <v>842</v>
      </c>
      <c r="F44" t="s">
        <v>676</v>
      </c>
      <c r="G44" t="s">
        <v>618</v>
      </c>
      <c r="H44" t="s">
        <v>696</v>
      </c>
      <c r="I44" t="s">
        <v>692</v>
      </c>
      <c r="J44" t="s">
        <v>751</v>
      </c>
      <c r="K44">
        <v>10</v>
      </c>
    </row>
    <row r="45" spans="1:11" x14ac:dyDescent="0.2">
      <c r="A45" t="s">
        <v>75</v>
      </c>
      <c r="B45" t="s">
        <v>158</v>
      </c>
      <c r="C45" t="s">
        <v>19</v>
      </c>
      <c r="D45" t="s">
        <v>160</v>
      </c>
      <c r="E45" t="s">
        <v>843</v>
      </c>
      <c r="F45" t="s">
        <v>675</v>
      </c>
      <c r="G45" t="s">
        <v>442</v>
      </c>
      <c r="H45" t="s">
        <v>700</v>
      </c>
      <c r="I45" t="s">
        <v>690</v>
      </c>
      <c r="J45" t="s">
        <v>725</v>
      </c>
      <c r="K45">
        <v>5</v>
      </c>
    </row>
    <row r="46" spans="1:11" x14ac:dyDescent="0.2">
      <c r="A46" t="s">
        <v>76</v>
      </c>
      <c r="B46" t="s">
        <v>156</v>
      </c>
      <c r="C46" t="s">
        <v>22</v>
      </c>
      <c r="D46" t="s">
        <v>160</v>
      </c>
      <c r="E46" t="s">
        <v>844</v>
      </c>
      <c r="F46" t="s">
        <v>676</v>
      </c>
      <c r="G46" t="s">
        <v>566</v>
      </c>
      <c r="H46" t="s">
        <v>698</v>
      </c>
      <c r="I46" t="s">
        <v>708</v>
      </c>
      <c r="J46" t="s">
        <v>712</v>
      </c>
      <c r="K46">
        <v>9</v>
      </c>
    </row>
    <row r="47" spans="1:11" x14ac:dyDescent="0.2">
      <c r="A47" t="s">
        <v>77</v>
      </c>
      <c r="B47" t="s">
        <v>156</v>
      </c>
      <c r="C47" t="s">
        <v>21</v>
      </c>
      <c r="D47" t="s">
        <v>160</v>
      </c>
      <c r="E47" t="s">
        <v>845</v>
      </c>
      <c r="F47" t="s">
        <v>675</v>
      </c>
      <c r="G47" t="s">
        <v>322</v>
      </c>
      <c r="H47" t="s">
        <v>682</v>
      </c>
      <c r="I47" t="s">
        <v>687</v>
      </c>
      <c r="J47" t="s">
        <v>759</v>
      </c>
      <c r="K47">
        <v>10</v>
      </c>
    </row>
    <row r="48" spans="1:11" x14ac:dyDescent="0.2">
      <c r="A48" t="s">
        <v>78</v>
      </c>
      <c r="B48" t="s">
        <v>158</v>
      </c>
      <c r="C48" t="s">
        <v>14</v>
      </c>
      <c r="D48" t="s">
        <v>160</v>
      </c>
      <c r="E48" t="s">
        <v>846</v>
      </c>
      <c r="F48" t="s">
        <v>675</v>
      </c>
      <c r="G48" t="s">
        <v>179</v>
      </c>
      <c r="H48" t="s">
        <v>700</v>
      </c>
      <c r="I48" t="s">
        <v>690</v>
      </c>
      <c r="J48" t="s">
        <v>737</v>
      </c>
      <c r="K48">
        <v>1</v>
      </c>
    </row>
    <row r="49" spans="1:11" x14ac:dyDescent="0.2">
      <c r="A49" t="s">
        <v>79</v>
      </c>
      <c r="B49" t="s">
        <v>158</v>
      </c>
      <c r="C49" t="s">
        <v>25</v>
      </c>
      <c r="D49" t="s">
        <v>160</v>
      </c>
      <c r="E49" t="s">
        <v>847</v>
      </c>
      <c r="F49" t="s">
        <v>676</v>
      </c>
      <c r="G49" t="s">
        <v>586</v>
      </c>
      <c r="H49" t="s">
        <v>677</v>
      </c>
      <c r="I49" t="s">
        <v>706</v>
      </c>
      <c r="J49" t="s">
        <v>848</v>
      </c>
      <c r="K49">
        <v>12</v>
      </c>
    </row>
    <row r="50" spans="1:11" x14ac:dyDescent="0.2">
      <c r="A50" t="s">
        <v>80</v>
      </c>
      <c r="B50" t="s">
        <v>156</v>
      </c>
      <c r="C50" t="s">
        <v>16</v>
      </c>
      <c r="D50" t="s">
        <v>160</v>
      </c>
      <c r="E50" t="s">
        <v>849</v>
      </c>
      <c r="F50" t="s">
        <v>675</v>
      </c>
      <c r="G50" t="s">
        <v>219</v>
      </c>
      <c r="H50" t="s">
        <v>705</v>
      </c>
      <c r="I50" t="s">
        <v>690</v>
      </c>
      <c r="J50" t="s">
        <v>719</v>
      </c>
      <c r="K50">
        <v>6</v>
      </c>
    </row>
    <row r="51" spans="1:11" x14ac:dyDescent="0.2">
      <c r="A51" t="s">
        <v>81</v>
      </c>
      <c r="B51" t="s">
        <v>156</v>
      </c>
      <c r="C51" t="s">
        <v>30</v>
      </c>
      <c r="D51" t="s">
        <v>160</v>
      </c>
      <c r="E51" t="s">
        <v>850</v>
      </c>
      <c r="F51" t="s">
        <v>675</v>
      </c>
      <c r="G51" t="s">
        <v>322</v>
      </c>
      <c r="H51" t="s">
        <v>704</v>
      </c>
      <c r="I51" t="s">
        <v>690</v>
      </c>
      <c r="J51" t="s">
        <v>713</v>
      </c>
      <c r="K51">
        <v>9</v>
      </c>
    </row>
    <row r="52" spans="1:11" x14ac:dyDescent="0.2">
      <c r="A52" t="s">
        <v>82</v>
      </c>
      <c r="B52" t="s">
        <v>158</v>
      </c>
      <c r="C52" t="s">
        <v>16</v>
      </c>
      <c r="D52" t="s">
        <v>160</v>
      </c>
      <c r="E52" t="s">
        <v>851</v>
      </c>
      <c r="F52" t="s">
        <v>675</v>
      </c>
      <c r="G52" t="s">
        <v>409</v>
      </c>
      <c r="H52" t="s">
        <v>701</v>
      </c>
      <c r="I52" t="s">
        <v>690</v>
      </c>
      <c r="J52" t="s">
        <v>736</v>
      </c>
      <c r="K52">
        <v>10</v>
      </c>
    </row>
    <row r="53" spans="1:11" x14ac:dyDescent="0.2">
      <c r="A53" t="s">
        <v>83</v>
      </c>
      <c r="B53" t="s">
        <v>156</v>
      </c>
      <c r="C53" t="s">
        <v>19</v>
      </c>
      <c r="D53" t="s">
        <v>160</v>
      </c>
      <c r="E53" t="s">
        <v>852</v>
      </c>
      <c r="F53" t="s">
        <v>676</v>
      </c>
      <c r="G53" t="s">
        <v>623</v>
      </c>
      <c r="H53" t="s">
        <v>678</v>
      </c>
      <c r="I53" t="s">
        <v>687</v>
      </c>
      <c r="J53" t="s">
        <v>759</v>
      </c>
      <c r="K53">
        <v>3</v>
      </c>
    </row>
    <row r="54" spans="1:11" x14ac:dyDescent="0.2">
      <c r="A54" t="s">
        <v>84</v>
      </c>
      <c r="B54" t="s">
        <v>156</v>
      </c>
      <c r="C54" t="s">
        <v>22</v>
      </c>
      <c r="D54" t="s">
        <v>160</v>
      </c>
      <c r="E54" t="s">
        <v>853</v>
      </c>
      <c r="F54" t="s">
        <v>675</v>
      </c>
      <c r="G54" t="s">
        <v>417</v>
      </c>
      <c r="H54" t="s">
        <v>684</v>
      </c>
      <c r="I54" t="s">
        <v>694</v>
      </c>
      <c r="J54" t="s">
        <v>777</v>
      </c>
      <c r="K54">
        <v>7</v>
      </c>
    </row>
    <row r="55" spans="1:11" x14ac:dyDescent="0.2">
      <c r="A55" t="s">
        <v>85</v>
      </c>
      <c r="B55" t="s">
        <v>158</v>
      </c>
      <c r="C55" t="s">
        <v>24</v>
      </c>
      <c r="D55" t="s">
        <v>160</v>
      </c>
      <c r="E55" t="s">
        <v>854</v>
      </c>
      <c r="F55" t="s">
        <v>676</v>
      </c>
      <c r="G55" t="s">
        <v>667</v>
      </c>
      <c r="H55" t="s">
        <v>698</v>
      </c>
      <c r="I55" t="s">
        <v>708</v>
      </c>
      <c r="J55" t="s">
        <v>715</v>
      </c>
      <c r="K55">
        <v>11</v>
      </c>
    </row>
    <row r="56" spans="1:11" x14ac:dyDescent="0.2">
      <c r="A56" t="s">
        <v>86</v>
      </c>
      <c r="B56" t="s">
        <v>156</v>
      </c>
      <c r="C56" t="s">
        <v>30</v>
      </c>
      <c r="D56" t="s">
        <v>160</v>
      </c>
      <c r="E56" t="s">
        <v>855</v>
      </c>
      <c r="F56" t="s">
        <v>675</v>
      </c>
      <c r="G56" t="s">
        <v>355</v>
      </c>
      <c r="H56" t="s">
        <v>683</v>
      </c>
      <c r="I56" t="s">
        <v>690</v>
      </c>
      <c r="J56" t="s">
        <v>715</v>
      </c>
      <c r="K56">
        <v>11</v>
      </c>
    </row>
    <row r="57" spans="1:11" x14ac:dyDescent="0.2">
      <c r="A57" t="s">
        <v>87</v>
      </c>
      <c r="B57" t="s">
        <v>156</v>
      </c>
      <c r="C57" t="s">
        <v>28</v>
      </c>
      <c r="D57" t="s">
        <v>160</v>
      </c>
      <c r="E57" t="s">
        <v>856</v>
      </c>
      <c r="F57" t="s">
        <v>675</v>
      </c>
      <c r="G57" t="s">
        <v>518</v>
      </c>
      <c r="H57" t="s">
        <v>700</v>
      </c>
      <c r="I57" t="s">
        <v>690</v>
      </c>
      <c r="J57" t="s">
        <v>734</v>
      </c>
      <c r="K57">
        <v>9</v>
      </c>
    </row>
    <row r="58" spans="1:11" x14ac:dyDescent="0.2">
      <c r="A58" t="s">
        <v>88</v>
      </c>
      <c r="B58" t="s">
        <v>156</v>
      </c>
      <c r="C58" t="s">
        <v>20</v>
      </c>
      <c r="D58" t="s">
        <v>160</v>
      </c>
      <c r="E58" t="s">
        <v>857</v>
      </c>
      <c r="F58" t="s">
        <v>676</v>
      </c>
      <c r="G58" t="s">
        <v>566</v>
      </c>
      <c r="H58" t="s">
        <v>685</v>
      </c>
      <c r="I58" t="s">
        <v>687</v>
      </c>
      <c r="J58" t="s">
        <v>819</v>
      </c>
      <c r="K58">
        <v>11</v>
      </c>
    </row>
    <row r="59" spans="1:11" x14ac:dyDescent="0.2">
      <c r="A59" t="s">
        <v>89</v>
      </c>
      <c r="B59" t="s">
        <v>156</v>
      </c>
      <c r="C59" t="s">
        <v>26</v>
      </c>
      <c r="D59" t="s">
        <v>160</v>
      </c>
      <c r="E59" t="s">
        <v>858</v>
      </c>
      <c r="F59" t="s">
        <v>676</v>
      </c>
      <c r="G59" t="s">
        <v>563</v>
      </c>
      <c r="H59" t="s">
        <v>697</v>
      </c>
      <c r="I59" t="s">
        <v>692</v>
      </c>
      <c r="J59" t="s">
        <v>743</v>
      </c>
      <c r="K59">
        <v>5</v>
      </c>
    </row>
    <row r="60" spans="1:11" x14ac:dyDescent="0.2">
      <c r="A60" t="s">
        <v>90</v>
      </c>
      <c r="B60" t="s">
        <v>156</v>
      </c>
      <c r="C60" t="s">
        <v>23</v>
      </c>
      <c r="D60" t="s">
        <v>160</v>
      </c>
      <c r="E60" t="s">
        <v>859</v>
      </c>
      <c r="F60" t="s">
        <v>675</v>
      </c>
      <c r="G60" t="s">
        <v>521</v>
      </c>
      <c r="H60" t="s">
        <v>683</v>
      </c>
      <c r="I60" t="s">
        <v>690</v>
      </c>
      <c r="J60" t="s">
        <v>715</v>
      </c>
      <c r="K60">
        <v>10</v>
      </c>
    </row>
    <row r="61" spans="1:11" x14ac:dyDescent="0.2">
      <c r="A61" t="s">
        <v>91</v>
      </c>
      <c r="B61" t="s">
        <v>158</v>
      </c>
      <c r="C61" t="s">
        <v>29</v>
      </c>
      <c r="D61" t="s">
        <v>160</v>
      </c>
      <c r="E61" t="s">
        <v>860</v>
      </c>
      <c r="F61" t="s">
        <v>675</v>
      </c>
      <c r="G61" t="s">
        <v>269</v>
      </c>
      <c r="H61" t="s">
        <v>682</v>
      </c>
      <c r="I61" t="s">
        <v>687</v>
      </c>
      <c r="J61" t="s">
        <v>759</v>
      </c>
      <c r="K61">
        <v>4</v>
      </c>
    </row>
    <row r="62" spans="1:11" x14ac:dyDescent="0.2">
      <c r="A62" t="s">
        <v>92</v>
      </c>
      <c r="B62" t="s">
        <v>156</v>
      </c>
      <c r="C62" t="s">
        <v>15</v>
      </c>
      <c r="D62" t="s">
        <v>160</v>
      </c>
      <c r="E62" t="s">
        <v>861</v>
      </c>
      <c r="F62" t="s">
        <v>675</v>
      </c>
      <c r="G62" t="s">
        <v>473</v>
      </c>
      <c r="H62" t="s">
        <v>682</v>
      </c>
      <c r="I62" t="s">
        <v>687</v>
      </c>
      <c r="J62" t="s">
        <v>765</v>
      </c>
      <c r="K62">
        <v>12</v>
      </c>
    </row>
    <row r="63" spans="1:11" x14ac:dyDescent="0.2">
      <c r="A63" t="s">
        <v>93</v>
      </c>
      <c r="B63" t="s">
        <v>158</v>
      </c>
      <c r="C63" t="s">
        <v>27</v>
      </c>
      <c r="D63" t="s">
        <v>160</v>
      </c>
      <c r="E63" t="s">
        <v>862</v>
      </c>
      <c r="F63" t="s">
        <v>676</v>
      </c>
      <c r="G63" t="s">
        <v>629</v>
      </c>
      <c r="H63" t="s">
        <v>689</v>
      </c>
      <c r="I63" t="s">
        <v>692</v>
      </c>
      <c r="J63" t="s">
        <v>745</v>
      </c>
      <c r="K63">
        <v>10</v>
      </c>
    </row>
    <row r="64" spans="1:11" x14ac:dyDescent="0.2">
      <c r="A64" t="s">
        <v>94</v>
      </c>
      <c r="B64" t="s">
        <v>158</v>
      </c>
      <c r="C64" t="s">
        <v>28</v>
      </c>
      <c r="D64" t="s">
        <v>160</v>
      </c>
      <c r="E64" t="s">
        <v>863</v>
      </c>
      <c r="F64" t="s">
        <v>675</v>
      </c>
      <c r="G64" t="s">
        <v>513</v>
      </c>
      <c r="H64" t="s">
        <v>702</v>
      </c>
      <c r="I64" t="s">
        <v>690</v>
      </c>
      <c r="J64" t="s">
        <v>714</v>
      </c>
      <c r="K64">
        <v>12</v>
      </c>
    </row>
    <row r="65" spans="1:11" x14ac:dyDescent="0.2">
      <c r="A65" t="s">
        <v>95</v>
      </c>
      <c r="B65" t="s">
        <v>158</v>
      </c>
      <c r="C65" t="s">
        <v>18</v>
      </c>
      <c r="D65" t="s">
        <v>160</v>
      </c>
      <c r="E65" t="s">
        <v>864</v>
      </c>
      <c r="F65" t="s">
        <v>675</v>
      </c>
      <c r="G65" t="s">
        <v>199</v>
      </c>
      <c r="H65" t="s">
        <v>702</v>
      </c>
      <c r="I65" t="s">
        <v>690</v>
      </c>
      <c r="J65" t="s">
        <v>739</v>
      </c>
      <c r="K65">
        <v>8</v>
      </c>
    </row>
    <row r="66" spans="1:11" x14ac:dyDescent="0.2">
      <c r="A66" t="s">
        <v>96</v>
      </c>
      <c r="B66" t="s">
        <v>158</v>
      </c>
      <c r="C66" t="s">
        <v>16</v>
      </c>
      <c r="D66" t="s">
        <v>160</v>
      </c>
      <c r="E66" t="s">
        <v>865</v>
      </c>
      <c r="F66" t="s">
        <v>675</v>
      </c>
      <c r="G66" t="s">
        <v>447</v>
      </c>
      <c r="H66" t="s">
        <v>704</v>
      </c>
      <c r="I66" t="s">
        <v>690</v>
      </c>
      <c r="J66" t="s">
        <v>710</v>
      </c>
      <c r="K66">
        <v>2</v>
      </c>
    </row>
    <row r="67" spans="1:11" x14ac:dyDescent="0.2">
      <c r="A67" t="s">
        <v>97</v>
      </c>
      <c r="B67" t="s">
        <v>158</v>
      </c>
      <c r="C67" t="s">
        <v>27</v>
      </c>
      <c r="D67" t="s">
        <v>160</v>
      </c>
      <c r="E67" t="s">
        <v>866</v>
      </c>
      <c r="F67" t="s">
        <v>675</v>
      </c>
      <c r="G67" t="s">
        <v>367</v>
      </c>
      <c r="H67" t="s">
        <v>704</v>
      </c>
      <c r="I67" t="s">
        <v>690</v>
      </c>
      <c r="J67" t="s">
        <v>723</v>
      </c>
      <c r="K67">
        <v>10</v>
      </c>
    </row>
    <row r="68" spans="1:11" x14ac:dyDescent="0.2">
      <c r="A68" t="s">
        <v>98</v>
      </c>
      <c r="B68" t="s">
        <v>156</v>
      </c>
      <c r="C68" t="s">
        <v>15</v>
      </c>
      <c r="D68" t="s">
        <v>160</v>
      </c>
      <c r="E68" t="s">
        <v>867</v>
      </c>
      <c r="F68" t="s">
        <v>676</v>
      </c>
      <c r="G68" t="s">
        <v>656</v>
      </c>
      <c r="H68" t="s">
        <v>679</v>
      </c>
      <c r="I68" t="s">
        <v>690</v>
      </c>
      <c r="J68" t="s">
        <v>719</v>
      </c>
      <c r="K68">
        <v>3</v>
      </c>
    </row>
    <row r="69" spans="1:11" x14ac:dyDescent="0.2">
      <c r="A69" t="s">
        <v>99</v>
      </c>
      <c r="B69" t="s">
        <v>156</v>
      </c>
      <c r="C69" t="s">
        <v>29</v>
      </c>
      <c r="D69" t="s">
        <v>160</v>
      </c>
      <c r="E69" t="s">
        <v>868</v>
      </c>
      <c r="F69" t="s">
        <v>675</v>
      </c>
      <c r="G69" t="s">
        <v>247</v>
      </c>
      <c r="H69" t="s">
        <v>705</v>
      </c>
      <c r="I69" t="s">
        <v>690</v>
      </c>
      <c r="J69" t="s">
        <v>738</v>
      </c>
      <c r="K69">
        <v>8</v>
      </c>
    </row>
    <row r="70" spans="1:11" x14ac:dyDescent="0.2">
      <c r="A70" t="s">
        <v>100</v>
      </c>
      <c r="B70" t="s">
        <v>158</v>
      </c>
      <c r="C70" t="s">
        <v>25</v>
      </c>
      <c r="D70" t="s">
        <v>160</v>
      </c>
      <c r="E70" t="s">
        <v>869</v>
      </c>
      <c r="F70" t="s">
        <v>675</v>
      </c>
      <c r="G70" t="s">
        <v>473</v>
      </c>
      <c r="H70" t="s">
        <v>682</v>
      </c>
      <c r="I70" t="s">
        <v>687</v>
      </c>
      <c r="J70" t="s">
        <v>821</v>
      </c>
      <c r="K70">
        <v>6</v>
      </c>
    </row>
    <row r="71" spans="1:11" x14ac:dyDescent="0.2">
      <c r="A71" t="s">
        <v>101</v>
      </c>
      <c r="B71" t="s">
        <v>156</v>
      </c>
      <c r="C71" t="s">
        <v>18</v>
      </c>
      <c r="D71" t="s">
        <v>160</v>
      </c>
      <c r="E71" t="s">
        <v>870</v>
      </c>
      <c r="F71" t="s">
        <v>676</v>
      </c>
      <c r="G71" t="s">
        <v>642</v>
      </c>
      <c r="H71" t="s">
        <v>685</v>
      </c>
      <c r="I71" t="s">
        <v>687</v>
      </c>
      <c r="J71" t="s">
        <v>821</v>
      </c>
      <c r="K71">
        <v>3</v>
      </c>
    </row>
    <row r="72" spans="1:11" x14ac:dyDescent="0.2">
      <c r="A72" t="s">
        <v>102</v>
      </c>
      <c r="B72" t="s">
        <v>158</v>
      </c>
      <c r="C72" t="s">
        <v>25</v>
      </c>
      <c r="D72" t="s">
        <v>160</v>
      </c>
      <c r="E72" t="s">
        <v>871</v>
      </c>
      <c r="F72" t="s">
        <v>675</v>
      </c>
      <c r="G72" t="s">
        <v>488</v>
      </c>
      <c r="H72" t="s">
        <v>700</v>
      </c>
      <c r="I72" t="s">
        <v>690</v>
      </c>
      <c r="J72" t="s">
        <v>718</v>
      </c>
      <c r="K72">
        <v>10</v>
      </c>
    </row>
    <row r="73" spans="1:11" x14ac:dyDescent="0.2">
      <c r="A73" t="s">
        <v>103</v>
      </c>
      <c r="B73" t="s">
        <v>156</v>
      </c>
      <c r="C73" t="s">
        <v>20</v>
      </c>
      <c r="D73" t="s">
        <v>160</v>
      </c>
      <c r="E73" t="s">
        <v>872</v>
      </c>
      <c r="F73" t="s">
        <v>676</v>
      </c>
      <c r="G73" t="s">
        <v>636</v>
      </c>
      <c r="H73" t="s">
        <v>699</v>
      </c>
      <c r="I73" t="s">
        <v>690</v>
      </c>
      <c r="J73" t="s">
        <v>717</v>
      </c>
      <c r="K73">
        <v>6</v>
      </c>
    </row>
    <row r="74" spans="1:11" x14ac:dyDescent="0.2">
      <c r="A74" t="s">
        <v>104</v>
      </c>
      <c r="B74" t="s">
        <v>158</v>
      </c>
      <c r="C74" t="s">
        <v>17</v>
      </c>
      <c r="D74" t="s">
        <v>160</v>
      </c>
      <c r="E74" t="s">
        <v>873</v>
      </c>
      <c r="F74" t="s">
        <v>675</v>
      </c>
      <c r="G74" t="s">
        <v>167</v>
      </c>
      <c r="H74" t="s">
        <v>705</v>
      </c>
      <c r="I74" t="s">
        <v>690</v>
      </c>
      <c r="J74" t="s">
        <v>734</v>
      </c>
      <c r="K74">
        <v>10</v>
      </c>
    </row>
    <row r="75" spans="1:11" x14ac:dyDescent="0.2">
      <c r="A75" t="s">
        <v>105</v>
      </c>
      <c r="B75" t="s">
        <v>156</v>
      </c>
      <c r="C75" t="s">
        <v>29</v>
      </c>
      <c r="D75" t="s">
        <v>160</v>
      </c>
      <c r="E75" t="s">
        <v>874</v>
      </c>
      <c r="F75" t="s">
        <v>675</v>
      </c>
      <c r="G75" t="s">
        <v>472</v>
      </c>
      <c r="H75" t="s">
        <v>705</v>
      </c>
      <c r="I75" t="s">
        <v>690</v>
      </c>
      <c r="J75" t="s">
        <v>712</v>
      </c>
      <c r="K75">
        <v>3</v>
      </c>
    </row>
    <row r="76" spans="1:11" x14ac:dyDescent="0.2">
      <c r="A76" t="s">
        <v>106</v>
      </c>
      <c r="B76" t="s">
        <v>158</v>
      </c>
      <c r="C76" t="s">
        <v>21</v>
      </c>
      <c r="D76" t="s">
        <v>160</v>
      </c>
      <c r="E76" t="s">
        <v>875</v>
      </c>
      <c r="F76" t="s">
        <v>675</v>
      </c>
      <c r="G76" t="s">
        <v>371</v>
      </c>
      <c r="H76" t="s">
        <v>700</v>
      </c>
      <c r="I76" t="s">
        <v>690</v>
      </c>
      <c r="J76" t="s">
        <v>718</v>
      </c>
      <c r="K76">
        <v>6</v>
      </c>
    </row>
    <row r="77" spans="1:11" x14ac:dyDescent="0.2">
      <c r="A77" t="s">
        <v>107</v>
      </c>
      <c r="B77" t="s">
        <v>156</v>
      </c>
      <c r="C77" t="s">
        <v>22</v>
      </c>
      <c r="D77" t="s">
        <v>160</v>
      </c>
      <c r="E77" t="s">
        <v>876</v>
      </c>
      <c r="F77" t="s">
        <v>676</v>
      </c>
      <c r="G77" t="s">
        <v>653</v>
      </c>
      <c r="H77" t="s">
        <v>677</v>
      </c>
      <c r="I77" t="s">
        <v>706</v>
      </c>
      <c r="J77" t="s">
        <v>877</v>
      </c>
      <c r="K77">
        <v>2</v>
      </c>
    </row>
    <row r="78" spans="1:11" x14ac:dyDescent="0.2">
      <c r="A78" t="s">
        <v>108</v>
      </c>
      <c r="B78" t="s">
        <v>158</v>
      </c>
      <c r="C78" t="s">
        <v>14</v>
      </c>
      <c r="D78" t="s">
        <v>160</v>
      </c>
      <c r="E78" t="s">
        <v>878</v>
      </c>
      <c r="F78" t="s">
        <v>675</v>
      </c>
      <c r="G78" t="s">
        <v>333</v>
      </c>
      <c r="H78" t="s">
        <v>684</v>
      </c>
      <c r="I78" t="s">
        <v>694</v>
      </c>
      <c r="J78" t="s">
        <v>769</v>
      </c>
      <c r="K78">
        <v>10</v>
      </c>
    </row>
    <row r="79" spans="1:11" x14ac:dyDescent="0.2">
      <c r="A79" t="s">
        <v>109</v>
      </c>
      <c r="B79" t="s">
        <v>158</v>
      </c>
      <c r="C79" t="s">
        <v>17</v>
      </c>
      <c r="D79" t="s">
        <v>160</v>
      </c>
      <c r="E79" t="s">
        <v>879</v>
      </c>
      <c r="F79" t="s">
        <v>675</v>
      </c>
      <c r="G79" t="s">
        <v>324</v>
      </c>
      <c r="H79" t="s">
        <v>684</v>
      </c>
      <c r="I79" t="s">
        <v>694</v>
      </c>
      <c r="J79" t="s">
        <v>769</v>
      </c>
      <c r="K79">
        <v>7</v>
      </c>
    </row>
    <row r="80" spans="1:11" x14ac:dyDescent="0.2">
      <c r="A80" t="s">
        <v>110</v>
      </c>
      <c r="B80" t="s">
        <v>158</v>
      </c>
      <c r="C80" t="s">
        <v>14</v>
      </c>
      <c r="D80" t="s">
        <v>160</v>
      </c>
      <c r="E80" t="s">
        <v>880</v>
      </c>
      <c r="F80" t="s">
        <v>675</v>
      </c>
      <c r="G80" t="s">
        <v>369</v>
      </c>
      <c r="H80" t="s">
        <v>682</v>
      </c>
      <c r="I80" t="s">
        <v>687</v>
      </c>
      <c r="J80" t="s">
        <v>757</v>
      </c>
      <c r="K80">
        <v>4</v>
      </c>
    </row>
    <row r="81" spans="1:11" x14ac:dyDescent="0.2">
      <c r="A81" t="s">
        <v>111</v>
      </c>
      <c r="B81" t="s">
        <v>156</v>
      </c>
      <c r="C81" t="s">
        <v>15</v>
      </c>
      <c r="D81" t="s">
        <v>160</v>
      </c>
      <c r="E81" t="s">
        <v>881</v>
      </c>
      <c r="F81" t="s">
        <v>676</v>
      </c>
      <c r="G81" t="s">
        <v>632</v>
      </c>
      <c r="H81" t="s">
        <v>678</v>
      </c>
      <c r="I81" t="s">
        <v>687</v>
      </c>
      <c r="J81" t="s">
        <v>755</v>
      </c>
      <c r="K81">
        <v>10</v>
      </c>
    </row>
    <row r="82" spans="1:11" x14ac:dyDescent="0.2">
      <c r="A82" t="s">
        <v>112</v>
      </c>
      <c r="B82" t="s">
        <v>158</v>
      </c>
      <c r="C82" t="s">
        <v>20</v>
      </c>
      <c r="D82" t="s">
        <v>160</v>
      </c>
      <c r="E82" t="s">
        <v>882</v>
      </c>
      <c r="F82" t="s">
        <v>676</v>
      </c>
      <c r="G82" t="s">
        <v>598</v>
      </c>
      <c r="H82" t="s">
        <v>697</v>
      </c>
      <c r="I82" t="s">
        <v>692</v>
      </c>
      <c r="J82" t="s">
        <v>749</v>
      </c>
      <c r="K82">
        <v>13</v>
      </c>
    </row>
    <row r="83" spans="1:11" x14ac:dyDescent="0.2">
      <c r="A83" t="s">
        <v>113</v>
      </c>
      <c r="B83" t="s">
        <v>158</v>
      </c>
      <c r="C83" t="s">
        <v>20</v>
      </c>
      <c r="D83" t="s">
        <v>160</v>
      </c>
      <c r="E83" t="s">
        <v>883</v>
      </c>
      <c r="F83" t="s">
        <v>676</v>
      </c>
      <c r="G83" t="s">
        <v>568</v>
      </c>
      <c r="H83" t="s">
        <v>685</v>
      </c>
      <c r="I83" t="s">
        <v>687</v>
      </c>
      <c r="J83" t="s">
        <v>753</v>
      </c>
      <c r="K83">
        <v>2</v>
      </c>
    </row>
    <row r="84" spans="1:11" x14ac:dyDescent="0.2">
      <c r="A84" t="s">
        <v>114</v>
      </c>
      <c r="B84" t="s">
        <v>156</v>
      </c>
      <c r="C84" t="s">
        <v>24</v>
      </c>
      <c r="D84" t="s">
        <v>160</v>
      </c>
      <c r="E84" t="s">
        <v>884</v>
      </c>
      <c r="F84" t="s">
        <v>675</v>
      </c>
      <c r="G84" t="s">
        <v>207</v>
      </c>
      <c r="H84" t="s">
        <v>701</v>
      </c>
      <c r="I84" t="s">
        <v>690</v>
      </c>
      <c r="J84" t="s">
        <v>723</v>
      </c>
      <c r="K84">
        <v>7</v>
      </c>
    </row>
    <row r="85" spans="1:11" x14ac:dyDescent="0.2">
      <c r="A85" t="s">
        <v>115</v>
      </c>
      <c r="B85" t="s">
        <v>156</v>
      </c>
      <c r="C85" t="s">
        <v>27</v>
      </c>
      <c r="D85" t="s">
        <v>160</v>
      </c>
      <c r="E85" t="s">
        <v>885</v>
      </c>
      <c r="F85" t="s">
        <v>675</v>
      </c>
      <c r="G85" t="s">
        <v>287</v>
      </c>
      <c r="H85" t="s">
        <v>682</v>
      </c>
      <c r="I85" t="s">
        <v>687</v>
      </c>
      <c r="J85" t="s">
        <v>765</v>
      </c>
      <c r="K85">
        <v>7</v>
      </c>
    </row>
    <row r="86" spans="1:11" x14ac:dyDescent="0.2">
      <c r="A86" t="s">
        <v>116</v>
      </c>
      <c r="B86" t="s">
        <v>156</v>
      </c>
      <c r="C86" t="s">
        <v>16</v>
      </c>
      <c r="D86" t="s">
        <v>160</v>
      </c>
      <c r="E86" t="s">
        <v>886</v>
      </c>
      <c r="F86" t="s">
        <v>675</v>
      </c>
      <c r="G86" t="s">
        <v>414</v>
      </c>
      <c r="H86" t="s">
        <v>705</v>
      </c>
      <c r="I86" t="s">
        <v>690</v>
      </c>
      <c r="J86" t="s">
        <v>724</v>
      </c>
      <c r="K86">
        <v>1</v>
      </c>
    </row>
    <row r="87" spans="1:11" x14ac:dyDescent="0.2">
      <c r="A87" t="s">
        <v>117</v>
      </c>
      <c r="B87" t="s">
        <v>156</v>
      </c>
      <c r="C87" t="s">
        <v>26</v>
      </c>
      <c r="D87" t="s">
        <v>160</v>
      </c>
      <c r="E87" t="s">
        <v>887</v>
      </c>
      <c r="F87" t="s">
        <v>675</v>
      </c>
      <c r="G87" t="s">
        <v>514</v>
      </c>
      <c r="H87" t="s">
        <v>681</v>
      </c>
      <c r="I87" t="s">
        <v>687</v>
      </c>
      <c r="J87" t="s">
        <v>757</v>
      </c>
      <c r="K87">
        <v>9</v>
      </c>
    </row>
    <row r="88" spans="1:11" x14ac:dyDescent="0.2">
      <c r="A88" t="s">
        <v>118</v>
      </c>
      <c r="B88" t="s">
        <v>158</v>
      </c>
      <c r="C88" t="s">
        <v>16</v>
      </c>
      <c r="D88" t="s">
        <v>160</v>
      </c>
      <c r="E88" t="s">
        <v>888</v>
      </c>
      <c r="F88" t="s">
        <v>675</v>
      </c>
      <c r="G88" t="s">
        <v>277</v>
      </c>
      <c r="H88" t="s">
        <v>701</v>
      </c>
      <c r="I88" t="s">
        <v>690</v>
      </c>
      <c r="J88" t="s">
        <v>714</v>
      </c>
      <c r="K88">
        <v>5</v>
      </c>
    </row>
    <row r="89" spans="1:11" x14ac:dyDescent="0.2">
      <c r="A89" t="s">
        <v>119</v>
      </c>
      <c r="B89" t="s">
        <v>158</v>
      </c>
      <c r="C89" t="s">
        <v>18</v>
      </c>
      <c r="D89" t="s">
        <v>160</v>
      </c>
      <c r="E89" t="s">
        <v>889</v>
      </c>
      <c r="F89" t="s">
        <v>675</v>
      </c>
      <c r="G89" t="s">
        <v>322</v>
      </c>
      <c r="H89" t="s">
        <v>703</v>
      </c>
      <c r="I89" t="s">
        <v>690</v>
      </c>
      <c r="J89" t="s">
        <v>719</v>
      </c>
      <c r="K89">
        <v>5</v>
      </c>
    </row>
    <row r="90" spans="1:11" x14ac:dyDescent="0.2">
      <c r="A90" t="s">
        <v>120</v>
      </c>
      <c r="B90" t="s">
        <v>158</v>
      </c>
      <c r="C90" t="s">
        <v>14</v>
      </c>
      <c r="D90" t="s">
        <v>160</v>
      </c>
      <c r="E90" t="s">
        <v>890</v>
      </c>
      <c r="F90" t="s">
        <v>675</v>
      </c>
      <c r="G90" t="s">
        <v>376</v>
      </c>
      <c r="H90" t="s">
        <v>682</v>
      </c>
      <c r="I90" t="s">
        <v>687</v>
      </c>
      <c r="J90" t="s">
        <v>821</v>
      </c>
      <c r="K90">
        <v>6</v>
      </c>
    </row>
    <row r="91" spans="1:11" x14ac:dyDescent="0.2">
      <c r="A91" t="s">
        <v>121</v>
      </c>
      <c r="B91" t="s">
        <v>156</v>
      </c>
      <c r="C91" t="s">
        <v>30</v>
      </c>
      <c r="D91" t="s">
        <v>160</v>
      </c>
      <c r="E91" t="s">
        <v>891</v>
      </c>
      <c r="F91" t="s">
        <v>676</v>
      </c>
      <c r="G91" t="s">
        <v>610</v>
      </c>
      <c r="H91" t="s">
        <v>699</v>
      </c>
      <c r="I91" t="s">
        <v>690</v>
      </c>
      <c r="J91" t="s">
        <v>690</v>
      </c>
      <c r="K91">
        <v>7</v>
      </c>
    </row>
    <row r="92" spans="1:11" x14ac:dyDescent="0.2">
      <c r="A92" t="s">
        <v>122</v>
      </c>
      <c r="B92" t="s">
        <v>156</v>
      </c>
      <c r="C92" t="s">
        <v>28</v>
      </c>
      <c r="D92" t="s">
        <v>160</v>
      </c>
      <c r="E92" t="s">
        <v>892</v>
      </c>
      <c r="F92" t="s">
        <v>675</v>
      </c>
      <c r="G92" t="s">
        <v>245</v>
      </c>
      <c r="H92" t="s">
        <v>705</v>
      </c>
      <c r="I92" t="s">
        <v>690</v>
      </c>
      <c r="J92" t="s">
        <v>738</v>
      </c>
      <c r="K92">
        <v>8</v>
      </c>
    </row>
    <row r="93" spans="1:11" x14ac:dyDescent="0.2">
      <c r="A93" t="s">
        <v>123</v>
      </c>
      <c r="B93" t="s">
        <v>158</v>
      </c>
      <c r="C93" t="s">
        <v>20</v>
      </c>
      <c r="D93" t="s">
        <v>160</v>
      </c>
      <c r="E93" t="s">
        <v>893</v>
      </c>
      <c r="F93" t="s">
        <v>675</v>
      </c>
      <c r="G93" t="s">
        <v>233</v>
      </c>
      <c r="H93" t="s">
        <v>683</v>
      </c>
      <c r="I93" t="s">
        <v>690</v>
      </c>
      <c r="J93" t="s">
        <v>735</v>
      </c>
      <c r="K93">
        <v>5</v>
      </c>
    </row>
    <row r="94" spans="1:11" x14ac:dyDescent="0.2">
      <c r="A94" t="s">
        <v>124</v>
      </c>
      <c r="B94" t="s">
        <v>158</v>
      </c>
      <c r="C94" t="s">
        <v>14</v>
      </c>
      <c r="D94" t="s">
        <v>160</v>
      </c>
      <c r="E94" t="s">
        <v>894</v>
      </c>
      <c r="F94" t="s">
        <v>675</v>
      </c>
      <c r="G94" t="s">
        <v>235</v>
      </c>
      <c r="H94" t="s">
        <v>703</v>
      </c>
      <c r="I94" t="s">
        <v>690</v>
      </c>
      <c r="J94" t="s">
        <v>734</v>
      </c>
      <c r="K94">
        <v>8</v>
      </c>
    </row>
    <row r="95" spans="1:11" x14ac:dyDescent="0.2">
      <c r="A95" t="s">
        <v>125</v>
      </c>
      <c r="B95" t="s">
        <v>158</v>
      </c>
      <c r="C95" t="s">
        <v>25</v>
      </c>
      <c r="D95" t="s">
        <v>160</v>
      </c>
      <c r="E95" t="s">
        <v>895</v>
      </c>
      <c r="F95" t="s">
        <v>675</v>
      </c>
      <c r="G95" t="s">
        <v>338</v>
      </c>
      <c r="H95" t="s">
        <v>701</v>
      </c>
      <c r="I95" t="s">
        <v>690</v>
      </c>
      <c r="J95" t="s">
        <v>718</v>
      </c>
      <c r="K95">
        <v>9</v>
      </c>
    </row>
    <row r="96" spans="1:11" x14ac:dyDescent="0.2">
      <c r="A96" t="s">
        <v>126</v>
      </c>
      <c r="B96" t="s">
        <v>158</v>
      </c>
      <c r="C96" t="s">
        <v>22</v>
      </c>
      <c r="D96" t="s">
        <v>160</v>
      </c>
      <c r="E96" t="s">
        <v>896</v>
      </c>
      <c r="F96" t="s">
        <v>675</v>
      </c>
      <c r="G96" t="s">
        <v>329</v>
      </c>
      <c r="H96" t="s">
        <v>705</v>
      </c>
      <c r="I96" t="s">
        <v>690</v>
      </c>
      <c r="J96" t="s">
        <v>717</v>
      </c>
      <c r="K96">
        <v>1</v>
      </c>
    </row>
    <row r="97" spans="1:11" x14ac:dyDescent="0.2">
      <c r="A97" t="s">
        <v>127</v>
      </c>
      <c r="B97" t="s">
        <v>158</v>
      </c>
      <c r="C97" t="s">
        <v>23</v>
      </c>
      <c r="D97" t="s">
        <v>160</v>
      </c>
      <c r="E97" t="s">
        <v>897</v>
      </c>
      <c r="F97" t="s">
        <v>676</v>
      </c>
      <c r="G97" t="s">
        <v>641</v>
      </c>
      <c r="H97" t="s">
        <v>698</v>
      </c>
      <c r="I97" t="s">
        <v>708</v>
      </c>
      <c r="J97" t="s">
        <v>730</v>
      </c>
      <c r="K97">
        <v>3</v>
      </c>
    </row>
    <row r="98" spans="1:11" x14ac:dyDescent="0.2">
      <c r="A98" t="s">
        <v>128</v>
      </c>
      <c r="B98" t="s">
        <v>156</v>
      </c>
      <c r="C98" t="s">
        <v>28</v>
      </c>
      <c r="D98" t="s">
        <v>160</v>
      </c>
      <c r="E98" t="s">
        <v>898</v>
      </c>
      <c r="F98" t="s">
        <v>675</v>
      </c>
      <c r="G98" t="s">
        <v>372</v>
      </c>
      <c r="H98" t="s">
        <v>682</v>
      </c>
      <c r="I98" t="s">
        <v>687</v>
      </c>
      <c r="J98" t="s">
        <v>762</v>
      </c>
      <c r="K98">
        <v>11</v>
      </c>
    </row>
    <row r="99" spans="1:11" x14ac:dyDescent="0.2">
      <c r="A99" t="s">
        <v>129</v>
      </c>
      <c r="B99" t="s">
        <v>156</v>
      </c>
      <c r="C99" t="s">
        <v>13</v>
      </c>
      <c r="D99" t="s">
        <v>160</v>
      </c>
      <c r="E99" t="s">
        <v>899</v>
      </c>
      <c r="F99" t="s">
        <v>675</v>
      </c>
      <c r="G99" t="s">
        <v>254</v>
      </c>
      <c r="H99" t="s">
        <v>684</v>
      </c>
      <c r="I99" t="s">
        <v>694</v>
      </c>
      <c r="J99" t="s">
        <v>769</v>
      </c>
      <c r="K99">
        <v>11</v>
      </c>
    </row>
    <row r="100" spans="1:11" x14ac:dyDescent="0.2">
      <c r="A100" t="s">
        <v>130</v>
      </c>
      <c r="B100" t="s">
        <v>158</v>
      </c>
      <c r="C100" t="s">
        <v>14</v>
      </c>
      <c r="D100" t="s">
        <v>160</v>
      </c>
      <c r="E100" t="s">
        <v>900</v>
      </c>
      <c r="F100" t="s">
        <v>675</v>
      </c>
      <c r="G100" t="s">
        <v>266</v>
      </c>
      <c r="H100" t="s">
        <v>700</v>
      </c>
      <c r="I100" t="s">
        <v>690</v>
      </c>
      <c r="J100" t="s">
        <v>712</v>
      </c>
      <c r="K100">
        <v>2</v>
      </c>
    </row>
    <row r="101" spans="1:11" x14ac:dyDescent="0.2">
      <c r="A101" t="s">
        <v>131</v>
      </c>
      <c r="B101" t="s">
        <v>158</v>
      </c>
      <c r="C101" t="s">
        <v>13</v>
      </c>
      <c r="D101" t="s">
        <v>160</v>
      </c>
      <c r="E101" t="s">
        <v>901</v>
      </c>
      <c r="F101" t="s">
        <v>675</v>
      </c>
      <c r="G101" t="s">
        <v>426</v>
      </c>
      <c r="H101" t="s">
        <v>684</v>
      </c>
      <c r="I101" t="s">
        <v>694</v>
      </c>
      <c r="J101" t="s">
        <v>775</v>
      </c>
      <c r="K101">
        <v>9</v>
      </c>
    </row>
    <row r="102" spans="1:11" x14ac:dyDescent="0.2">
      <c r="A102" t="s">
        <v>132</v>
      </c>
      <c r="B102" t="s">
        <v>156</v>
      </c>
      <c r="C102" t="s">
        <v>21</v>
      </c>
      <c r="D102" t="s">
        <v>160</v>
      </c>
      <c r="E102" t="s">
        <v>902</v>
      </c>
      <c r="F102" t="s">
        <v>675</v>
      </c>
      <c r="G102" t="s">
        <v>372</v>
      </c>
      <c r="H102" t="s">
        <v>702</v>
      </c>
      <c r="I102" t="s">
        <v>690</v>
      </c>
      <c r="J102" t="s">
        <v>733</v>
      </c>
      <c r="K102">
        <v>5</v>
      </c>
    </row>
    <row r="103" spans="1:11" x14ac:dyDescent="0.2">
      <c r="A103" t="s">
        <v>133</v>
      </c>
      <c r="B103" t="s">
        <v>158</v>
      </c>
      <c r="C103" t="s">
        <v>29</v>
      </c>
      <c r="D103" t="s">
        <v>160</v>
      </c>
      <c r="E103" t="s">
        <v>903</v>
      </c>
      <c r="F103" t="s">
        <v>675</v>
      </c>
      <c r="G103" t="s">
        <v>497</v>
      </c>
      <c r="H103" t="s">
        <v>684</v>
      </c>
      <c r="I103" t="s">
        <v>694</v>
      </c>
      <c r="J103" t="s">
        <v>773</v>
      </c>
      <c r="K103">
        <v>9</v>
      </c>
    </row>
    <row r="104" spans="1:11" x14ac:dyDescent="0.2">
      <c r="A104" t="s">
        <v>134</v>
      </c>
      <c r="B104" t="s">
        <v>158</v>
      </c>
      <c r="C104" t="s">
        <v>22</v>
      </c>
      <c r="D104" t="s">
        <v>160</v>
      </c>
      <c r="E104" t="s">
        <v>904</v>
      </c>
      <c r="F104" t="s">
        <v>675</v>
      </c>
      <c r="G104" t="s">
        <v>448</v>
      </c>
      <c r="H104" t="s">
        <v>683</v>
      </c>
      <c r="I104" t="s">
        <v>690</v>
      </c>
      <c r="J104" t="s">
        <v>731</v>
      </c>
      <c r="K104">
        <v>11</v>
      </c>
    </row>
    <row r="105" spans="1:11" x14ac:dyDescent="0.2">
      <c r="A105" t="s">
        <v>135</v>
      </c>
      <c r="B105" t="s">
        <v>158</v>
      </c>
      <c r="C105" t="s">
        <v>21</v>
      </c>
      <c r="D105" t="s">
        <v>160</v>
      </c>
      <c r="E105" t="s">
        <v>905</v>
      </c>
      <c r="F105" t="s">
        <v>675</v>
      </c>
      <c r="G105" t="s">
        <v>426</v>
      </c>
      <c r="H105" t="s">
        <v>704</v>
      </c>
      <c r="I105" t="s">
        <v>690</v>
      </c>
      <c r="J105" t="s">
        <v>713</v>
      </c>
      <c r="K105">
        <v>12</v>
      </c>
    </row>
    <row r="106" spans="1:11" x14ac:dyDescent="0.2">
      <c r="A106" t="s">
        <v>136</v>
      </c>
      <c r="B106" t="s">
        <v>158</v>
      </c>
      <c r="C106" t="s">
        <v>28</v>
      </c>
      <c r="D106" t="s">
        <v>160</v>
      </c>
      <c r="E106" t="s">
        <v>906</v>
      </c>
      <c r="F106" t="s">
        <v>675</v>
      </c>
      <c r="G106" t="s">
        <v>343</v>
      </c>
      <c r="H106" t="s">
        <v>682</v>
      </c>
      <c r="I106" t="s">
        <v>687</v>
      </c>
      <c r="J106" t="s">
        <v>757</v>
      </c>
      <c r="K106">
        <v>3</v>
      </c>
    </row>
    <row r="107" spans="1:11" x14ac:dyDescent="0.2">
      <c r="A107" t="s">
        <v>137</v>
      </c>
      <c r="B107" t="s">
        <v>158</v>
      </c>
      <c r="C107" t="s">
        <v>17</v>
      </c>
      <c r="D107" t="s">
        <v>160</v>
      </c>
      <c r="E107" t="s">
        <v>907</v>
      </c>
      <c r="F107" t="s">
        <v>675</v>
      </c>
      <c r="G107" t="s">
        <v>379</v>
      </c>
      <c r="H107" t="s">
        <v>682</v>
      </c>
      <c r="I107" t="s">
        <v>687</v>
      </c>
      <c r="J107" t="s">
        <v>755</v>
      </c>
      <c r="K107">
        <v>9</v>
      </c>
    </row>
    <row r="108" spans="1:11" x14ac:dyDescent="0.2">
      <c r="A108" t="s">
        <v>138</v>
      </c>
      <c r="B108" t="s">
        <v>158</v>
      </c>
      <c r="C108" t="s">
        <v>17</v>
      </c>
      <c r="D108" t="s">
        <v>160</v>
      </c>
      <c r="E108" t="s">
        <v>908</v>
      </c>
      <c r="F108" t="s">
        <v>676</v>
      </c>
      <c r="G108" t="s">
        <v>573</v>
      </c>
      <c r="H108" t="s">
        <v>696</v>
      </c>
      <c r="I108" t="s">
        <v>692</v>
      </c>
      <c r="J108" t="s">
        <v>747</v>
      </c>
      <c r="K108">
        <v>9</v>
      </c>
    </row>
    <row r="109" spans="1:11" x14ac:dyDescent="0.2">
      <c r="A109" t="s">
        <v>139</v>
      </c>
      <c r="B109" t="s">
        <v>156</v>
      </c>
      <c r="C109" t="s">
        <v>29</v>
      </c>
      <c r="D109" t="s">
        <v>160</v>
      </c>
      <c r="E109" t="s">
        <v>909</v>
      </c>
      <c r="F109" t="s">
        <v>676</v>
      </c>
      <c r="G109" t="s">
        <v>652</v>
      </c>
      <c r="H109" t="s">
        <v>699</v>
      </c>
      <c r="I109" t="s">
        <v>690</v>
      </c>
      <c r="J109" t="s">
        <v>730</v>
      </c>
      <c r="K109">
        <v>5</v>
      </c>
    </row>
    <row r="110" spans="1:11" x14ac:dyDescent="0.2">
      <c r="A110" t="s">
        <v>140</v>
      </c>
      <c r="B110" t="s">
        <v>158</v>
      </c>
      <c r="C110" t="s">
        <v>29</v>
      </c>
      <c r="D110" t="s">
        <v>160</v>
      </c>
      <c r="E110" t="s">
        <v>886</v>
      </c>
      <c r="F110" t="s">
        <v>675</v>
      </c>
      <c r="G110" t="s">
        <v>506</v>
      </c>
      <c r="H110" t="s">
        <v>702</v>
      </c>
      <c r="I110" t="s">
        <v>690</v>
      </c>
      <c r="J110" t="s">
        <v>735</v>
      </c>
      <c r="K110">
        <v>1</v>
      </c>
    </row>
    <row r="111" spans="1:11" x14ac:dyDescent="0.2">
      <c r="A111" t="s">
        <v>141</v>
      </c>
      <c r="B111" t="s">
        <v>158</v>
      </c>
      <c r="C111" t="s">
        <v>29</v>
      </c>
      <c r="D111" t="s">
        <v>160</v>
      </c>
      <c r="E111" t="s">
        <v>910</v>
      </c>
      <c r="F111" t="s">
        <v>675</v>
      </c>
      <c r="G111" t="s">
        <v>499</v>
      </c>
      <c r="H111" t="s">
        <v>700</v>
      </c>
      <c r="I111" t="s">
        <v>690</v>
      </c>
      <c r="J111" t="s">
        <v>715</v>
      </c>
      <c r="K111">
        <v>3</v>
      </c>
    </row>
    <row r="112" spans="1:11" x14ac:dyDescent="0.2">
      <c r="A112" t="s">
        <v>142</v>
      </c>
      <c r="B112" t="s">
        <v>158</v>
      </c>
      <c r="C112" t="s">
        <v>16</v>
      </c>
      <c r="D112" t="s">
        <v>160</v>
      </c>
      <c r="E112" t="s">
        <v>911</v>
      </c>
      <c r="F112" t="s">
        <v>675</v>
      </c>
      <c r="G112" t="s">
        <v>170</v>
      </c>
      <c r="H112" t="s">
        <v>704</v>
      </c>
      <c r="I112" t="s">
        <v>690</v>
      </c>
      <c r="J112" t="s">
        <v>723</v>
      </c>
      <c r="K112">
        <v>12</v>
      </c>
    </row>
    <row r="113" spans="1:11" x14ac:dyDescent="0.2">
      <c r="A113" t="s">
        <v>143</v>
      </c>
      <c r="B113" t="s">
        <v>156</v>
      </c>
      <c r="C113" t="s">
        <v>15</v>
      </c>
      <c r="D113" t="s">
        <v>160</v>
      </c>
      <c r="E113" t="s">
        <v>912</v>
      </c>
      <c r="F113" t="s">
        <v>675</v>
      </c>
      <c r="G113" t="s">
        <v>515</v>
      </c>
      <c r="H113" t="s">
        <v>700</v>
      </c>
      <c r="I113" t="s">
        <v>690</v>
      </c>
      <c r="J113" t="s">
        <v>724</v>
      </c>
      <c r="K113">
        <v>12</v>
      </c>
    </row>
    <row r="114" spans="1:11" x14ac:dyDescent="0.2">
      <c r="A114" t="s">
        <v>144</v>
      </c>
      <c r="B114" t="s">
        <v>156</v>
      </c>
      <c r="C114" t="s">
        <v>19</v>
      </c>
      <c r="D114" t="s">
        <v>160</v>
      </c>
      <c r="E114" t="s">
        <v>913</v>
      </c>
      <c r="F114" t="s">
        <v>675</v>
      </c>
      <c r="G114" t="s">
        <v>457</v>
      </c>
      <c r="H114" t="s">
        <v>702</v>
      </c>
      <c r="I114" t="s">
        <v>690</v>
      </c>
      <c r="J114" t="s">
        <v>690</v>
      </c>
      <c r="K114">
        <v>6</v>
      </c>
    </row>
    <row r="115" spans="1:11" x14ac:dyDescent="0.2">
      <c r="A115" t="s">
        <v>145</v>
      </c>
      <c r="B115" t="s">
        <v>158</v>
      </c>
      <c r="C115" t="s">
        <v>20</v>
      </c>
      <c r="D115" t="s">
        <v>160</v>
      </c>
      <c r="E115" t="s">
        <v>914</v>
      </c>
      <c r="F115" t="s">
        <v>676</v>
      </c>
      <c r="G115" t="s">
        <v>622</v>
      </c>
      <c r="H115" t="s">
        <v>679</v>
      </c>
      <c r="I115" t="s">
        <v>690</v>
      </c>
      <c r="J115" t="s">
        <v>732</v>
      </c>
      <c r="K115">
        <v>4</v>
      </c>
    </row>
    <row r="116" spans="1:11" x14ac:dyDescent="0.2">
      <c r="A116" t="s">
        <v>146</v>
      </c>
      <c r="B116" t="s">
        <v>158</v>
      </c>
      <c r="C116" t="s">
        <v>28</v>
      </c>
      <c r="D116" t="s">
        <v>160</v>
      </c>
      <c r="E116" t="s">
        <v>915</v>
      </c>
      <c r="F116" t="s">
        <v>675</v>
      </c>
      <c r="G116" t="s">
        <v>303</v>
      </c>
      <c r="H116" t="s">
        <v>702</v>
      </c>
      <c r="I116" t="s">
        <v>690</v>
      </c>
      <c r="J116" t="s">
        <v>725</v>
      </c>
      <c r="K116">
        <v>2</v>
      </c>
    </row>
    <row r="117" spans="1:11" x14ac:dyDescent="0.2">
      <c r="A117" t="s">
        <v>147</v>
      </c>
      <c r="B117" t="s">
        <v>156</v>
      </c>
      <c r="C117" t="s">
        <v>28</v>
      </c>
      <c r="D117" t="s">
        <v>160</v>
      </c>
      <c r="E117" t="s">
        <v>916</v>
      </c>
      <c r="F117" t="s">
        <v>675</v>
      </c>
      <c r="G117" t="s">
        <v>254</v>
      </c>
      <c r="H117" t="s">
        <v>705</v>
      </c>
      <c r="I117" t="s">
        <v>690</v>
      </c>
      <c r="J117" t="s">
        <v>690</v>
      </c>
      <c r="K117">
        <v>12</v>
      </c>
    </row>
    <row r="118" spans="1:11" x14ac:dyDescent="0.2">
      <c r="A118" t="s">
        <v>148</v>
      </c>
      <c r="B118" t="s">
        <v>156</v>
      </c>
      <c r="C118" t="s">
        <v>22</v>
      </c>
      <c r="D118" t="s">
        <v>160</v>
      </c>
      <c r="E118" t="s">
        <v>917</v>
      </c>
      <c r="F118" t="s">
        <v>675</v>
      </c>
      <c r="G118" t="s">
        <v>518</v>
      </c>
      <c r="H118" t="s">
        <v>700</v>
      </c>
      <c r="I118" t="s">
        <v>690</v>
      </c>
      <c r="J118" t="s">
        <v>713</v>
      </c>
      <c r="K118">
        <v>6</v>
      </c>
    </row>
    <row r="119" spans="1:11" x14ac:dyDescent="0.2">
      <c r="A119" t="s">
        <v>149</v>
      </c>
      <c r="B119" t="s">
        <v>158</v>
      </c>
      <c r="C119" t="s">
        <v>24</v>
      </c>
      <c r="D119" t="s">
        <v>160</v>
      </c>
      <c r="E119" t="s">
        <v>918</v>
      </c>
      <c r="F119" t="s">
        <v>676</v>
      </c>
      <c r="G119" t="s">
        <v>607</v>
      </c>
      <c r="H119" t="s">
        <v>685</v>
      </c>
      <c r="I119" t="s">
        <v>687</v>
      </c>
      <c r="J119" t="s">
        <v>819</v>
      </c>
      <c r="K119">
        <v>2</v>
      </c>
    </row>
    <row r="120" spans="1:11" x14ac:dyDescent="0.2">
      <c r="A120" t="s">
        <v>150</v>
      </c>
      <c r="B120" t="s">
        <v>156</v>
      </c>
      <c r="C120" t="s">
        <v>30</v>
      </c>
      <c r="D120" t="s">
        <v>160</v>
      </c>
      <c r="E120" t="s">
        <v>919</v>
      </c>
      <c r="F120" t="s">
        <v>676</v>
      </c>
      <c r="G120" t="s">
        <v>638</v>
      </c>
      <c r="H120" t="s">
        <v>689</v>
      </c>
      <c r="I120" t="s">
        <v>692</v>
      </c>
      <c r="J120" t="s">
        <v>749</v>
      </c>
      <c r="K120">
        <v>6</v>
      </c>
    </row>
    <row r="121" spans="1:11" x14ac:dyDescent="0.2">
      <c r="A121" t="s">
        <v>151</v>
      </c>
      <c r="B121" t="s">
        <v>158</v>
      </c>
      <c r="C121" t="s">
        <v>21</v>
      </c>
      <c r="D121" t="s">
        <v>160</v>
      </c>
      <c r="E121" t="s">
        <v>920</v>
      </c>
      <c r="F121" t="s">
        <v>676</v>
      </c>
      <c r="G121" t="s">
        <v>617</v>
      </c>
      <c r="H121" t="s">
        <v>678</v>
      </c>
      <c r="I121" t="s">
        <v>687</v>
      </c>
      <c r="J121" t="s">
        <v>757</v>
      </c>
      <c r="K121">
        <v>11</v>
      </c>
    </row>
    <row r="122" spans="1:11" x14ac:dyDescent="0.2">
      <c r="A122" t="s">
        <v>152</v>
      </c>
      <c r="B122" t="s">
        <v>156</v>
      </c>
      <c r="C122" t="s">
        <v>18</v>
      </c>
      <c r="D122" t="s">
        <v>160</v>
      </c>
      <c r="E122" t="s">
        <v>921</v>
      </c>
      <c r="F122" t="s">
        <v>675</v>
      </c>
      <c r="G122" t="s">
        <v>369</v>
      </c>
      <c r="H122" t="s">
        <v>700</v>
      </c>
      <c r="I122" t="s">
        <v>690</v>
      </c>
      <c r="J122" t="s">
        <v>715</v>
      </c>
      <c r="K122">
        <v>12</v>
      </c>
    </row>
    <row r="123" spans="1:11" x14ac:dyDescent="0.2">
      <c r="A123" t="s">
        <v>153</v>
      </c>
      <c r="B123" t="s">
        <v>158</v>
      </c>
      <c r="C123" t="s">
        <v>29</v>
      </c>
      <c r="D123" t="s">
        <v>160</v>
      </c>
      <c r="E123" t="s">
        <v>922</v>
      </c>
      <c r="F123" t="s">
        <v>675</v>
      </c>
      <c r="G123" t="s">
        <v>192</v>
      </c>
      <c r="H123" t="s">
        <v>684</v>
      </c>
      <c r="I123" t="s">
        <v>694</v>
      </c>
      <c r="J123" t="s">
        <v>777</v>
      </c>
      <c r="K123">
        <v>9</v>
      </c>
    </row>
    <row r="124" spans="1:11" x14ac:dyDescent="0.2">
      <c r="A124" t="s">
        <v>154</v>
      </c>
      <c r="B124" t="s">
        <v>158</v>
      </c>
      <c r="C124" t="s">
        <v>21</v>
      </c>
      <c r="D124" t="s">
        <v>160</v>
      </c>
      <c r="E124" t="s">
        <v>923</v>
      </c>
      <c r="F124" t="s">
        <v>675</v>
      </c>
      <c r="G124" t="s">
        <v>520</v>
      </c>
      <c r="H124" t="s">
        <v>684</v>
      </c>
      <c r="I124" t="s">
        <v>694</v>
      </c>
      <c r="J124" t="s">
        <v>771</v>
      </c>
      <c r="K124">
        <v>3</v>
      </c>
    </row>
    <row r="125" spans="1:11" x14ac:dyDescent="0.2">
      <c r="A125" t="s">
        <v>155</v>
      </c>
      <c r="B125" t="s">
        <v>158</v>
      </c>
      <c r="C125" t="s">
        <v>16</v>
      </c>
      <c r="D125" t="s">
        <v>160</v>
      </c>
      <c r="E125" t="s">
        <v>924</v>
      </c>
      <c r="F125" t="s">
        <v>675</v>
      </c>
      <c r="G125" t="s">
        <v>480</v>
      </c>
      <c r="H125" t="s">
        <v>681</v>
      </c>
      <c r="I125" t="s">
        <v>687</v>
      </c>
      <c r="J125" t="s">
        <v>762</v>
      </c>
      <c r="K12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造数据</vt:lpstr>
      <vt:lpstr>源数据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2021-10-28T06:27:19Z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64a878e5-9b51-4314-9441-a59dbd4fee63</vt:lpwstr>
  </property>
</Properties>
</file>